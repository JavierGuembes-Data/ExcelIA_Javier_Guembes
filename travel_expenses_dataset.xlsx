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oligran-my.sharepoint.com/personal/jalguembesj_poligran_edu_co/Documents/Documentos/Dashboards y Proyectos BI/"/>
    </mc:Choice>
  </mc:AlternateContent>
  <xr:revisionPtr revIDLastSave="279" documentId="11_56AE92B692ACCCAF1F7B8103531DE25CD6CE3248" xr6:coauthVersionLast="47" xr6:coauthVersionMax="47" xr10:uidLastSave="{567EC5AB-7404-42D8-921F-C909B1EA19E0}"/>
  <bookViews>
    <workbookView minimized="1" xWindow="30495" yWindow="3990" windowWidth="17280" windowHeight="8880" xr2:uid="{00000000-000D-0000-FFFF-FFFF00000000}"/>
  </bookViews>
  <sheets>
    <sheet name="Operational_Expenses" sheetId="1" r:id="rId1"/>
    <sheet name="Documentacion" sheetId="2" r:id="rId2"/>
  </sheets>
  <definedNames>
    <definedName name="_xlnm._FilterDatabase" localSheetId="0" hidden="1">Operational_Expenses!$I$1:$I$101</definedName>
    <definedName name="SegmentaciónDeDatos_Complaint_Type">#N/A</definedName>
    <definedName name="SegmentaciónDeDatos_Status">#N/A</definedName>
  </definedNames>
  <calcPr calcId="191029"/>
  <pivotCaches>
    <pivotCache cacheId="41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F9" i="1"/>
  <c r="J10" i="1"/>
  <c r="J11" i="1"/>
  <c r="J12" i="1"/>
  <c r="J13" i="1"/>
  <c r="J14" i="1"/>
  <c r="J15" i="1"/>
  <c r="F16" i="1"/>
  <c r="J17" i="1"/>
  <c r="J18" i="1"/>
  <c r="J19" i="1"/>
  <c r="J20" i="1"/>
  <c r="J21" i="1"/>
  <c r="J22" i="1"/>
  <c r="J23" i="1"/>
  <c r="F24" i="1"/>
  <c r="J25" i="1"/>
  <c r="J26" i="1"/>
  <c r="J27" i="1"/>
  <c r="J28" i="1"/>
  <c r="J29" i="1"/>
  <c r="J30" i="1"/>
  <c r="J31" i="1"/>
  <c r="J32" i="1"/>
  <c r="J33" i="1"/>
  <c r="J34" i="1"/>
  <c r="F35" i="1"/>
  <c r="J36" i="1"/>
  <c r="J37" i="1"/>
  <c r="J38" i="1"/>
  <c r="J39" i="1"/>
  <c r="J40" i="1"/>
  <c r="J41" i="1"/>
  <c r="J42" i="1"/>
  <c r="J43" i="1"/>
  <c r="F44" i="1"/>
  <c r="J45" i="1"/>
  <c r="J46" i="1"/>
  <c r="J47" i="1"/>
  <c r="J48" i="1"/>
  <c r="F49" i="1"/>
  <c r="J50" i="1"/>
  <c r="J51" i="1"/>
  <c r="J52" i="1"/>
  <c r="F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F92" i="1"/>
  <c r="F93" i="1"/>
  <c r="J94" i="1"/>
  <c r="J95" i="1"/>
  <c r="J96" i="1"/>
  <c r="J97" i="1"/>
  <c r="F98" i="1"/>
  <c r="J99" i="1"/>
  <c r="J100" i="1"/>
  <c r="J101" i="1"/>
  <c r="F2" i="1"/>
  <c r="F48" i="1" l="1"/>
  <c r="J24" i="1"/>
  <c r="J16" i="1"/>
  <c r="F76" i="1"/>
  <c r="F19" i="1"/>
  <c r="J9" i="1"/>
  <c r="F60" i="1"/>
  <c r="J98" i="1"/>
  <c r="F28" i="1"/>
  <c r="J49" i="1"/>
  <c r="F99" i="1"/>
  <c r="J2" i="1"/>
  <c r="J93" i="1"/>
  <c r="J53" i="1"/>
  <c r="F4" i="1"/>
  <c r="F12" i="1"/>
  <c r="J92" i="1"/>
  <c r="J44" i="1"/>
  <c r="J35" i="1"/>
  <c r="F96" i="1"/>
  <c r="F82" i="1"/>
  <c r="F81" i="1"/>
  <c r="F14" i="1"/>
  <c r="F25" i="1"/>
  <c r="F90" i="1"/>
  <c r="F74" i="1"/>
  <c r="F73" i="1"/>
  <c r="F56" i="1"/>
  <c r="F66" i="1"/>
  <c r="F41" i="1"/>
  <c r="F10" i="1"/>
  <c r="F40" i="1"/>
  <c r="F97" i="1"/>
  <c r="F34" i="1"/>
  <c r="F31" i="1"/>
  <c r="F71" i="1"/>
  <c r="F55" i="1"/>
  <c r="F87" i="1"/>
  <c r="F47" i="1"/>
  <c r="F79" i="1"/>
  <c r="F63" i="1"/>
  <c r="F29" i="1"/>
  <c r="F84" i="1"/>
  <c r="F57" i="1"/>
  <c r="F75" i="1"/>
  <c r="F39" i="1"/>
  <c r="F17" i="1"/>
  <c r="F33" i="1"/>
  <c r="F20" i="1"/>
  <c r="F7" i="1"/>
  <c r="F58" i="1"/>
  <c r="F78" i="1"/>
  <c r="F18" i="1"/>
  <c r="F22" i="1"/>
  <c r="F91" i="1"/>
  <c r="F15" i="1"/>
  <c r="F30" i="1"/>
  <c r="F77" i="1"/>
  <c r="F37" i="1"/>
  <c r="F42" i="1"/>
  <c r="F68" i="1"/>
  <c r="F61" i="1"/>
  <c r="F101" i="1"/>
  <c r="F21" i="1"/>
  <c r="F85" i="1"/>
  <c r="F50" i="1"/>
  <c r="F27" i="1"/>
  <c r="F59" i="1"/>
  <c r="F69" i="1"/>
  <c r="F89" i="1"/>
  <c r="F70" i="1"/>
  <c r="F52" i="1"/>
  <c r="F43" i="1"/>
  <c r="F5" i="1"/>
  <c r="F67" i="1"/>
  <c r="F46" i="1"/>
  <c r="F23" i="1"/>
  <c r="F45" i="1"/>
  <c r="F80" i="1"/>
  <c r="F86" i="1"/>
  <c r="F100" i="1"/>
  <c r="F88" i="1"/>
  <c r="F95" i="1"/>
  <c r="F32" i="1"/>
  <c r="F6" i="1"/>
  <c r="F65" i="1"/>
  <c r="F11" i="1"/>
  <c r="F83" i="1"/>
  <c r="F38" i="1"/>
  <c r="F94" i="1"/>
  <c r="F13" i="1"/>
  <c r="F3" i="1"/>
  <c r="F26" i="1"/>
  <c r="F54" i="1"/>
  <c r="F64" i="1"/>
  <c r="F51" i="1"/>
  <c r="F62" i="1"/>
  <c r="F8" i="1"/>
  <c r="F36" i="1"/>
  <c r="F72" i="1"/>
</calcChain>
</file>

<file path=xl/sharedStrings.xml><?xml version="1.0" encoding="utf-8"?>
<sst xmlns="http://schemas.openxmlformats.org/spreadsheetml/2006/main" count="429" uniqueCount="53">
  <si>
    <t>Case_ID</t>
  </si>
  <si>
    <t>Customer_Name</t>
  </si>
  <si>
    <t>Airline</t>
  </si>
  <si>
    <t>Ticket_Cost</t>
  </si>
  <si>
    <t>Expense_Type</t>
  </si>
  <si>
    <t>Expense_Amount</t>
  </si>
  <si>
    <t>Delay_Hours</t>
  </si>
  <si>
    <t>Complaint_Type</t>
  </si>
  <si>
    <t>Refund_Eligible</t>
  </si>
  <si>
    <t>Status</t>
  </si>
  <si>
    <t>Jorge Medina</t>
  </si>
  <si>
    <t>Avianca</t>
  </si>
  <si>
    <t>Cancellation</t>
  </si>
  <si>
    <t>Yes</t>
  </si>
  <si>
    <t>Open</t>
  </si>
  <si>
    <t>Maria Gomez</t>
  </si>
  <si>
    <t>LATAM</t>
  </si>
  <si>
    <t>Delay</t>
  </si>
  <si>
    <t>Juan Perez</t>
  </si>
  <si>
    <t>Closed</t>
  </si>
  <si>
    <t>Camila Diaz</t>
  </si>
  <si>
    <t>Service</t>
  </si>
  <si>
    <t>No</t>
  </si>
  <si>
    <t>Laura Vargas</t>
  </si>
  <si>
    <t>Felipe Naranjo</t>
  </si>
  <si>
    <t>Luisa Rojas</t>
  </si>
  <si>
    <t>Diego Castro</t>
  </si>
  <si>
    <t>Andres Lopez</t>
  </si>
  <si>
    <t>Pending</t>
  </si>
  <si>
    <t>Carlos Ruiz</t>
  </si>
  <si>
    <t>Valeria Soto</t>
  </si>
  <si>
    <t>Daniel Mora</t>
  </si>
  <si>
    <t>Pedro Silva</t>
  </si>
  <si>
    <t>Daniela Ruiz</t>
  </si>
  <si>
    <t>Natalia Cruz</t>
  </si>
  <si>
    <t>Oscar Pineda</t>
  </si>
  <si>
    <t>Ana Torres</t>
  </si>
  <si>
    <t>Paula Vega</t>
  </si>
  <si>
    <t>Luis Martinez</t>
  </si>
  <si>
    <t>Sofia Ramirez</t>
  </si>
  <si>
    <t>Total general</t>
  </si>
  <si>
    <t>Etiquetas de fila</t>
  </si>
  <si>
    <t>Tipo de queja</t>
  </si>
  <si>
    <t>Aplica Ref</t>
  </si>
  <si>
    <t>Tema Elegido</t>
  </si>
  <si>
    <t>Fuente de Datos</t>
  </si>
  <si>
    <t>Herramientas de IA Usadas</t>
  </si>
  <si>
    <t>Conclusiones del analisis</t>
  </si>
  <si>
    <t>El tema elegido es una tabla con informacion de gastos operativos por demoras causadas de las aerolineas, lo escogi porque trabajo en el sector y se me hizo interesanto evaluar con datos e Inteligencia Artificial, la repercusion de las demoras o irregularidades operacionales en las finanzas a traves de la medicion de los gastos</t>
  </si>
  <si>
    <t>Los datos son tomados de un tracking real, cambiando algunos datos como nombres de pasajeros para proteger sus identidades</t>
  </si>
  <si>
    <t>Date</t>
  </si>
  <si>
    <t>Utilice el Analisis de datos integrado en excel y la aplicacion externa de Gemini para consultar que analisis y preguntas para solucionar con los datos proporcionados harian, que graficos proponian para mostrarlos, etc</t>
  </si>
  <si>
    <t>Dadas las politicas de las aerolineas con respecto a compensaciones y demoras, nos preguntamos que tipo de Irregularidad operacional le causa mas gasto a las compañias y tambien pudimos demostrar que entre mas horas de demora tenga un vuelo, mas caros son los gastos en los que hay que incurrir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</si>
</sst>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7" formatCode="_-&quot;$&quot;* #,##0_-;\-&quot;$&quot;* #,##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7" fontId="0" fillId="0" borderId="0" xfId="1" applyNumberFormat="1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</a:t>
            </a:r>
            <a:r>
              <a:rPr lang="en-US" baseline="0"/>
              <a:t> de retraso vs Gasto Operativo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Operational_Expenses!$H$1</c:f>
              <c:strCache>
                <c:ptCount val="1"/>
                <c:pt idx="0">
                  <c:v>Delay_Hours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Operational_Expenses!$G$2:$G$101</c:f>
              <c:numCache>
                <c:formatCode>_-"$"* #,##0_-;\-"$"* #,##0_-;_-"$"* "-"??_-;_-@_-</c:formatCode>
                <c:ptCount val="100"/>
                <c:pt idx="0">
                  <c:v>39033</c:v>
                </c:pt>
                <c:pt idx="1">
                  <c:v>36894</c:v>
                </c:pt>
                <c:pt idx="2">
                  <c:v>21755</c:v>
                </c:pt>
                <c:pt idx="3">
                  <c:v>24287</c:v>
                </c:pt>
                <c:pt idx="4">
                  <c:v>116421</c:v>
                </c:pt>
                <c:pt idx="5">
                  <c:v>36781</c:v>
                </c:pt>
                <c:pt idx="6">
                  <c:v>189319</c:v>
                </c:pt>
                <c:pt idx="7">
                  <c:v>42295</c:v>
                </c:pt>
                <c:pt idx="8">
                  <c:v>13924</c:v>
                </c:pt>
                <c:pt idx="9">
                  <c:v>157376</c:v>
                </c:pt>
                <c:pt idx="10">
                  <c:v>20633</c:v>
                </c:pt>
                <c:pt idx="11">
                  <c:v>27564</c:v>
                </c:pt>
                <c:pt idx="12">
                  <c:v>18579</c:v>
                </c:pt>
                <c:pt idx="13">
                  <c:v>228193</c:v>
                </c:pt>
                <c:pt idx="14">
                  <c:v>40617</c:v>
                </c:pt>
                <c:pt idx="15">
                  <c:v>161506</c:v>
                </c:pt>
                <c:pt idx="16">
                  <c:v>31860</c:v>
                </c:pt>
                <c:pt idx="17">
                  <c:v>22286</c:v>
                </c:pt>
                <c:pt idx="18">
                  <c:v>19795</c:v>
                </c:pt>
                <c:pt idx="19">
                  <c:v>210260</c:v>
                </c:pt>
                <c:pt idx="20">
                  <c:v>49284</c:v>
                </c:pt>
                <c:pt idx="21">
                  <c:v>47189</c:v>
                </c:pt>
                <c:pt idx="22">
                  <c:v>25808</c:v>
                </c:pt>
                <c:pt idx="23">
                  <c:v>36813</c:v>
                </c:pt>
                <c:pt idx="24">
                  <c:v>164903</c:v>
                </c:pt>
                <c:pt idx="25">
                  <c:v>224536</c:v>
                </c:pt>
                <c:pt idx="26">
                  <c:v>32279</c:v>
                </c:pt>
                <c:pt idx="27">
                  <c:v>195913</c:v>
                </c:pt>
                <c:pt idx="28">
                  <c:v>112589</c:v>
                </c:pt>
                <c:pt idx="29">
                  <c:v>27944</c:v>
                </c:pt>
                <c:pt idx="30">
                  <c:v>159759</c:v>
                </c:pt>
                <c:pt idx="31">
                  <c:v>163145</c:v>
                </c:pt>
                <c:pt idx="32">
                  <c:v>26036</c:v>
                </c:pt>
                <c:pt idx="33">
                  <c:v>34456</c:v>
                </c:pt>
                <c:pt idx="34">
                  <c:v>43672</c:v>
                </c:pt>
                <c:pt idx="35">
                  <c:v>208018</c:v>
                </c:pt>
                <c:pt idx="36">
                  <c:v>138941</c:v>
                </c:pt>
                <c:pt idx="37">
                  <c:v>217353</c:v>
                </c:pt>
                <c:pt idx="38">
                  <c:v>46042</c:v>
                </c:pt>
                <c:pt idx="39">
                  <c:v>49488</c:v>
                </c:pt>
                <c:pt idx="40">
                  <c:v>16527</c:v>
                </c:pt>
                <c:pt idx="41">
                  <c:v>65163</c:v>
                </c:pt>
                <c:pt idx="42">
                  <c:v>26154</c:v>
                </c:pt>
                <c:pt idx="43">
                  <c:v>41074</c:v>
                </c:pt>
                <c:pt idx="44">
                  <c:v>242501</c:v>
                </c:pt>
                <c:pt idx="45">
                  <c:v>48744</c:v>
                </c:pt>
                <c:pt idx="46">
                  <c:v>25958</c:v>
                </c:pt>
                <c:pt idx="47">
                  <c:v>26156</c:v>
                </c:pt>
                <c:pt idx="48">
                  <c:v>125215</c:v>
                </c:pt>
                <c:pt idx="49">
                  <c:v>133027</c:v>
                </c:pt>
                <c:pt idx="50">
                  <c:v>139860</c:v>
                </c:pt>
                <c:pt idx="51">
                  <c:v>16356</c:v>
                </c:pt>
                <c:pt idx="52">
                  <c:v>48196</c:v>
                </c:pt>
                <c:pt idx="53">
                  <c:v>20865</c:v>
                </c:pt>
                <c:pt idx="54">
                  <c:v>16835</c:v>
                </c:pt>
                <c:pt idx="55">
                  <c:v>15644</c:v>
                </c:pt>
                <c:pt idx="56">
                  <c:v>153861</c:v>
                </c:pt>
                <c:pt idx="57">
                  <c:v>31951</c:v>
                </c:pt>
                <c:pt idx="58">
                  <c:v>20734</c:v>
                </c:pt>
                <c:pt idx="59">
                  <c:v>170503</c:v>
                </c:pt>
                <c:pt idx="60">
                  <c:v>27354</c:v>
                </c:pt>
                <c:pt idx="61">
                  <c:v>16109</c:v>
                </c:pt>
                <c:pt idx="62">
                  <c:v>47772</c:v>
                </c:pt>
                <c:pt idx="63">
                  <c:v>28163</c:v>
                </c:pt>
                <c:pt idx="64">
                  <c:v>39054</c:v>
                </c:pt>
                <c:pt idx="65">
                  <c:v>231525</c:v>
                </c:pt>
                <c:pt idx="66">
                  <c:v>207090</c:v>
                </c:pt>
                <c:pt idx="67">
                  <c:v>81536</c:v>
                </c:pt>
                <c:pt idx="68">
                  <c:v>16317</c:v>
                </c:pt>
                <c:pt idx="69">
                  <c:v>34641</c:v>
                </c:pt>
                <c:pt idx="70">
                  <c:v>216644</c:v>
                </c:pt>
                <c:pt idx="71">
                  <c:v>15172</c:v>
                </c:pt>
                <c:pt idx="72">
                  <c:v>16987</c:v>
                </c:pt>
                <c:pt idx="73">
                  <c:v>122668</c:v>
                </c:pt>
                <c:pt idx="74">
                  <c:v>14294</c:v>
                </c:pt>
                <c:pt idx="75">
                  <c:v>210126</c:v>
                </c:pt>
                <c:pt idx="76">
                  <c:v>124075</c:v>
                </c:pt>
                <c:pt idx="77">
                  <c:v>40594</c:v>
                </c:pt>
                <c:pt idx="78">
                  <c:v>156095</c:v>
                </c:pt>
                <c:pt idx="79">
                  <c:v>38113</c:v>
                </c:pt>
                <c:pt idx="80">
                  <c:v>23612</c:v>
                </c:pt>
                <c:pt idx="81">
                  <c:v>127413</c:v>
                </c:pt>
                <c:pt idx="82">
                  <c:v>61178</c:v>
                </c:pt>
                <c:pt idx="83">
                  <c:v>47531</c:v>
                </c:pt>
                <c:pt idx="84">
                  <c:v>73079</c:v>
                </c:pt>
                <c:pt idx="85">
                  <c:v>36197</c:v>
                </c:pt>
                <c:pt idx="86">
                  <c:v>117808</c:v>
                </c:pt>
                <c:pt idx="87">
                  <c:v>229845</c:v>
                </c:pt>
                <c:pt idx="88">
                  <c:v>15326</c:v>
                </c:pt>
                <c:pt idx="89">
                  <c:v>14060</c:v>
                </c:pt>
                <c:pt idx="90">
                  <c:v>33434</c:v>
                </c:pt>
                <c:pt idx="91">
                  <c:v>38605</c:v>
                </c:pt>
                <c:pt idx="92">
                  <c:v>129235</c:v>
                </c:pt>
                <c:pt idx="93">
                  <c:v>28201</c:v>
                </c:pt>
                <c:pt idx="94">
                  <c:v>35617</c:v>
                </c:pt>
                <c:pt idx="95">
                  <c:v>21729</c:v>
                </c:pt>
                <c:pt idx="96">
                  <c:v>28133</c:v>
                </c:pt>
                <c:pt idx="97">
                  <c:v>46190</c:v>
                </c:pt>
                <c:pt idx="98">
                  <c:v>193248</c:v>
                </c:pt>
                <c:pt idx="99">
                  <c:v>64710</c:v>
                </c:pt>
              </c:numCache>
            </c:numRef>
          </c:cat>
          <c:val>
            <c:numRef>
              <c:f>Operational_Expenses!$H$2:$H$101</c:f>
              <c:numCache>
                <c:formatCode>General</c:formatCode>
                <c:ptCount val="100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7</c:v>
                </c:pt>
                <c:pt idx="16">
                  <c:v>6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1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5</c:v>
                </c:pt>
                <c:pt idx="32">
                  <c:v>0</c:v>
                </c:pt>
                <c:pt idx="33">
                  <c:v>0</c:v>
                </c:pt>
                <c:pt idx="34">
                  <c:v>7</c:v>
                </c:pt>
                <c:pt idx="35">
                  <c:v>3</c:v>
                </c:pt>
                <c:pt idx="36">
                  <c:v>7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5</c:v>
                </c:pt>
                <c:pt idx="41">
                  <c:v>2</c:v>
                </c:pt>
                <c:pt idx="42">
                  <c:v>0</c:v>
                </c:pt>
                <c:pt idx="43">
                  <c:v>7</c:v>
                </c:pt>
                <c:pt idx="44">
                  <c:v>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6</c:v>
                </c:pt>
                <c:pt idx="56">
                  <c:v>7</c:v>
                </c:pt>
                <c:pt idx="57">
                  <c:v>3</c:v>
                </c:pt>
                <c:pt idx="58">
                  <c:v>0</c:v>
                </c:pt>
                <c:pt idx="59">
                  <c:v>4</c:v>
                </c:pt>
                <c:pt idx="60">
                  <c:v>2</c:v>
                </c:pt>
                <c:pt idx="61">
                  <c:v>0</c:v>
                </c:pt>
                <c:pt idx="62">
                  <c:v>4</c:v>
                </c:pt>
                <c:pt idx="63">
                  <c:v>7</c:v>
                </c:pt>
                <c:pt idx="64">
                  <c:v>0</c:v>
                </c:pt>
                <c:pt idx="65">
                  <c:v>4</c:v>
                </c:pt>
                <c:pt idx="66">
                  <c:v>8</c:v>
                </c:pt>
                <c:pt idx="67">
                  <c:v>5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0</c:v>
                </c:pt>
                <c:pt idx="72">
                  <c:v>0</c:v>
                </c:pt>
                <c:pt idx="73">
                  <c:v>7</c:v>
                </c:pt>
                <c:pt idx="74">
                  <c:v>0</c:v>
                </c:pt>
                <c:pt idx="75">
                  <c:v>6</c:v>
                </c:pt>
                <c:pt idx="76">
                  <c:v>4</c:v>
                </c:pt>
                <c:pt idx="77">
                  <c:v>0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6</c:v>
                </c:pt>
                <c:pt idx="82">
                  <c:v>2</c:v>
                </c:pt>
                <c:pt idx="83">
                  <c:v>7</c:v>
                </c:pt>
                <c:pt idx="84">
                  <c:v>5</c:v>
                </c:pt>
                <c:pt idx="85">
                  <c:v>0</c:v>
                </c:pt>
                <c:pt idx="86">
                  <c:v>4</c:v>
                </c:pt>
                <c:pt idx="87">
                  <c:v>2</c:v>
                </c:pt>
                <c:pt idx="88">
                  <c:v>0</c:v>
                </c:pt>
                <c:pt idx="89">
                  <c:v>7</c:v>
                </c:pt>
                <c:pt idx="90">
                  <c:v>0</c:v>
                </c:pt>
                <c:pt idx="91">
                  <c:v>0</c:v>
                </c:pt>
                <c:pt idx="92">
                  <c:v>5</c:v>
                </c:pt>
                <c:pt idx="93">
                  <c:v>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</c:v>
                </c:pt>
                <c:pt idx="9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E-4A49-BAC4-569D24B0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580256"/>
        <c:axId val="720581216"/>
      </c:lineChart>
      <c:catAx>
        <c:axId val="72058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Expense_Amount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0581216"/>
        <c:crosses val="autoZero"/>
        <c:auto val="1"/>
        <c:lblAlgn val="ctr"/>
        <c:lblOffset val="100"/>
        <c:noMultiLvlLbl val="0"/>
      </c:catAx>
      <c:valAx>
        <c:axId val="7205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Delay_Hours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058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18415</xdr:colOff>
      <xdr:row>10</xdr:row>
      <xdr:rowOff>3175</xdr:rowOff>
    </xdr:from>
    <xdr:to>
      <xdr:col>18</xdr:col>
      <xdr:colOff>19050</xdr:colOff>
      <xdr:row>26</xdr:row>
      <xdr:rowOff>169545</xdr:rowOff>
    </xdr:to>
    <xdr:graphicFrame macro="">
      <xdr:nvGraphicFramePr>
        <xdr:cNvPr id="3" name="Gráfico 2" descr="Tipo de gráfico: Líneas. &quot;Delay_Hours&quot;&#10;&#10;Descripción generada automáticamente">
          <a:extLst>
            <a:ext uri="{FF2B5EF4-FFF2-40B4-BE49-F238E27FC236}">
              <a16:creationId xmlns:a16="http://schemas.microsoft.com/office/drawing/2014/main" id="{8FCF25A5-C0FA-AA7C-562D-FB973C19A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266700</xdr:colOff>
      <xdr:row>27</xdr:row>
      <xdr:rowOff>177165</xdr:rowOff>
    </xdr:from>
    <xdr:to>
      <xdr:col>16</xdr:col>
      <xdr:colOff>514350</xdr:colOff>
      <xdr:row>34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omplaint_Type">
              <a:extLst>
                <a:ext uri="{FF2B5EF4-FFF2-40B4-BE49-F238E27FC236}">
                  <a16:creationId xmlns:a16="http://schemas.microsoft.com/office/drawing/2014/main" id="{CC9ACAD3-B18D-71A6-D5B3-3209C9EFD8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aint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3375" y="5059680"/>
              <a:ext cx="1834515" cy="1131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15240</xdr:colOff>
      <xdr:row>28</xdr:row>
      <xdr:rowOff>1905</xdr:rowOff>
    </xdr:from>
    <xdr:to>
      <xdr:col>14</xdr:col>
      <xdr:colOff>76200</xdr:colOff>
      <xdr:row>34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tatus">
              <a:extLst>
                <a:ext uri="{FF2B5EF4-FFF2-40B4-BE49-F238E27FC236}">
                  <a16:creationId xmlns:a16="http://schemas.microsoft.com/office/drawing/2014/main" id="{5886C1CE-E255-8CB0-30DB-BBEE251679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4550" y="5069205"/>
              <a:ext cx="1838325" cy="112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7.52861898148" createdVersion="8" refreshedVersion="8" minRefreshableVersion="3" recordCount="100" xr:uid="{FDB61506-F8CA-44E3-899C-3653B198D7D5}">
  <cacheSource type="worksheet">
    <worksheetSource ref="B1:K101" sheet="Operational_Expenses"/>
  </cacheSource>
  <cacheFields count="10">
    <cacheField name="Case_ID" numFmtId="0">
      <sharedItems containsSemiMixedTypes="0" containsString="0" containsNumber="1" containsInteger="1" minValue="1001" maxValue="1100"/>
    </cacheField>
    <cacheField name="Customer_Name" numFmtId="0">
      <sharedItems/>
    </cacheField>
    <cacheField name="Airline" numFmtId="0">
      <sharedItems/>
    </cacheField>
    <cacheField name="Ticket_Cost" numFmtId="167">
      <sharedItems containsSemiMixedTypes="0" containsString="0" containsNumber="1" containsInteger="1" minValue="509550" maxValue="943938"/>
    </cacheField>
    <cacheField name="Expense_Type" numFmtId="0">
      <sharedItems/>
    </cacheField>
    <cacheField name="Expense_Amount" numFmtId="167">
      <sharedItems containsSemiMixedTypes="0" containsString="0" containsNumber="1" containsInteger="1" minValue="10064" maxValue="249818"/>
    </cacheField>
    <cacheField name="Delay_Hours" numFmtId="0">
      <sharedItems containsSemiMixedTypes="0" containsString="0" containsNumber="1" containsInteger="1" minValue="0" maxValue="8"/>
    </cacheField>
    <cacheField name="Complaint_Type" numFmtId="0">
      <sharedItems count="3">
        <s v="Cancellation"/>
        <s v="Delay"/>
        <s v="Service"/>
      </sharedItems>
    </cacheField>
    <cacheField name="Refund_Eligible" numFmtId="0">
      <sharedItems count="2">
        <s v="Yes"/>
        <s v="No"/>
      </sharedItems>
    </cacheField>
    <cacheField name="Status" numFmtId="0">
      <sharedItems count="3">
        <s v="Open"/>
        <s v="Closed"/>
        <s v="Pending"/>
      </sharedItems>
    </cacheField>
  </cacheFields>
  <extLst>
    <ext xmlns:x14="http://schemas.microsoft.com/office/spreadsheetml/2009/9/main" uri="{725AE2AE-9491-48be-B2B4-4EB974FC3084}">
      <x14:pivotCacheDefinition pivotCacheId="6444724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Jorge Medina"/>
    <s v="Avianca"/>
    <n v="916958"/>
    <s v="Food"/>
    <n v="24462"/>
    <n v="0"/>
    <x v="0"/>
    <x v="0"/>
    <x v="0"/>
  </r>
  <r>
    <n v="1002"/>
    <s v="Maria Gomez"/>
    <s v="LATAM"/>
    <n v="602660"/>
    <s v="Hotel"/>
    <n v="148386"/>
    <n v="7"/>
    <x v="1"/>
    <x v="0"/>
    <x v="0"/>
  </r>
  <r>
    <n v="1003"/>
    <s v="Juan Perez"/>
    <s v="Avianca"/>
    <n v="901651"/>
    <s v="Food"/>
    <n v="21622"/>
    <n v="0"/>
    <x v="0"/>
    <x v="0"/>
    <x v="1"/>
  </r>
  <r>
    <n v="1004"/>
    <s v="Camila Diaz"/>
    <s v="Avianca"/>
    <n v="884609"/>
    <s v="Food"/>
    <n v="35127"/>
    <n v="2"/>
    <x v="2"/>
    <x v="1"/>
    <x v="0"/>
  </r>
  <r>
    <n v="1005"/>
    <s v="Juan Perez"/>
    <s v="LATAM"/>
    <n v="779814"/>
    <s v="Hotel"/>
    <n v="162312"/>
    <n v="6"/>
    <x v="2"/>
    <x v="0"/>
    <x v="1"/>
  </r>
  <r>
    <n v="1006"/>
    <s v="Camila Diaz"/>
    <s v="Avianca"/>
    <n v="526569"/>
    <s v="Hotel"/>
    <n v="115681"/>
    <n v="4"/>
    <x v="1"/>
    <x v="0"/>
    <x v="1"/>
  </r>
  <r>
    <n v="1007"/>
    <s v="Laura Vargas"/>
    <s v="LATAM"/>
    <n v="649728"/>
    <s v="Hotel"/>
    <n v="121443"/>
    <n v="7"/>
    <x v="1"/>
    <x v="0"/>
    <x v="1"/>
  </r>
  <r>
    <n v="1008"/>
    <s v="Felipe Naranjo"/>
    <s v="LATAM"/>
    <n v="781156"/>
    <s v="Food"/>
    <n v="16034"/>
    <n v="0"/>
    <x v="0"/>
    <x v="0"/>
    <x v="0"/>
  </r>
  <r>
    <n v="1009"/>
    <s v="Luisa Rojas"/>
    <s v="LATAM"/>
    <n v="825238"/>
    <s v="Food"/>
    <n v="10091"/>
    <n v="0"/>
    <x v="0"/>
    <x v="0"/>
    <x v="1"/>
  </r>
  <r>
    <n v="1010"/>
    <s v="Diego Castro"/>
    <s v="Avianca"/>
    <n v="606904"/>
    <s v="Hotel"/>
    <n v="147921"/>
    <n v="4"/>
    <x v="2"/>
    <x v="0"/>
    <x v="0"/>
  </r>
  <r>
    <n v="1011"/>
    <s v="Andres Lopez"/>
    <s v="Avianca"/>
    <n v="686302"/>
    <s v="Food"/>
    <n v="10418"/>
    <n v="0"/>
    <x v="0"/>
    <x v="0"/>
    <x v="0"/>
  </r>
  <r>
    <n v="1012"/>
    <s v="Andres Lopez"/>
    <s v="LATAM"/>
    <n v="611543"/>
    <s v="Hotel"/>
    <n v="169774"/>
    <n v="8"/>
    <x v="2"/>
    <x v="0"/>
    <x v="2"/>
  </r>
  <r>
    <n v="1013"/>
    <s v="Juan Perez"/>
    <s v="LATAM"/>
    <n v="893798"/>
    <s v="Food"/>
    <n v="32008"/>
    <n v="0"/>
    <x v="0"/>
    <x v="0"/>
    <x v="2"/>
  </r>
  <r>
    <n v="1014"/>
    <s v="Carlos Ruiz"/>
    <s v="LATAM"/>
    <n v="934107"/>
    <s v="Transport"/>
    <n v="70550"/>
    <n v="3"/>
    <x v="1"/>
    <x v="0"/>
    <x v="0"/>
  </r>
  <r>
    <n v="1015"/>
    <s v="Valeria Soto"/>
    <s v="Avianca"/>
    <n v="655365"/>
    <s v="Food"/>
    <n v="33951"/>
    <n v="0"/>
    <x v="0"/>
    <x v="0"/>
    <x v="0"/>
  </r>
  <r>
    <n v="1016"/>
    <s v="Jorge Medina"/>
    <s v="Avianca"/>
    <n v="933138"/>
    <s v="Hotel"/>
    <n v="232747"/>
    <n v="5"/>
    <x v="1"/>
    <x v="0"/>
    <x v="0"/>
  </r>
  <r>
    <n v="1017"/>
    <s v="Diego Castro"/>
    <s v="Avianca"/>
    <n v="623804"/>
    <s v="Hotel"/>
    <n v="183097"/>
    <n v="5"/>
    <x v="1"/>
    <x v="0"/>
    <x v="2"/>
  </r>
  <r>
    <n v="1018"/>
    <s v="Daniel Mora"/>
    <s v="LATAM"/>
    <n v="762032"/>
    <s v="Food"/>
    <n v="47163"/>
    <n v="0"/>
    <x v="0"/>
    <x v="0"/>
    <x v="2"/>
  </r>
  <r>
    <n v="1019"/>
    <s v="Camila Diaz"/>
    <s v="LATAM"/>
    <n v="622779"/>
    <s v="Food"/>
    <n v="30003"/>
    <n v="2"/>
    <x v="1"/>
    <x v="1"/>
    <x v="1"/>
  </r>
  <r>
    <n v="1020"/>
    <s v="Camila Diaz"/>
    <s v="LATAM"/>
    <n v="815310"/>
    <s v="Food"/>
    <n v="45654"/>
    <n v="1"/>
    <x v="2"/>
    <x v="1"/>
    <x v="0"/>
  </r>
  <r>
    <n v="1021"/>
    <s v="Camila Diaz"/>
    <s v="Avianca"/>
    <n v="934140"/>
    <s v="Transport"/>
    <n v="78803"/>
    <n v="3"/>
    <x v="2"/>
    <x v="0"/>
    <x v="1"/>
  </r>
  <r>
    <n v="1022"/>
    <s v="Luisa Rojas"/>
    <s v="Avianca"/>
    <n v="929508"/>
    <s v="Hotel"/>
    <n v="151261"/>
    <n v="6"/>
    <x v="1"/>
    <x v="0"/>
    <x v="1"/>
  </r>
  <r>
    <n v="1023"/>
    <s v="Andres Lopez"/>
    <s v="Avianca"/>
    <n v="611155"/>
    <s v="Food"/>
    <n v="40507"/>
    <n v="0"/>
    <x v="0"/>
    <x v="0"/>
    <x v="1"/>
  </r>
  <r>
    <n v="1024"/>
    <s v="Andres Lopez"/>
    <s v="Avianca"/>
    <n v="676156"/>
    <s v="Food"/>
    <n v="26413"/>
    <n v="0"/>
    <x v="0"/>
    <x v="0"/>
    <x v="1"/>
  </r>
  <r>
    <n v="1025"/>
    <s v="Pedro Silva"/>
    <s v="Avianca"/>
    <n v="894144"/>
    <s v="Hotel"/>
    <n v="210540"/>
    <n v="6"/>
    <x v="1"/>
    <x v="0"/>
    <x v="2"/>
  </r>
  <r>
    <n v="1026"/>
    <s v="Daniela Ruiz"/>
    <s v="LATAM"/>
    <n v="552789"/>
    <s v="Hotel"/>
    <n v="176925"/>
    <n v="5"/>
    <x v="1"/>
    <x v="0"/>
    <x v="1"/>
  </r>
  <r>
    <n v="1027"/>
    <s v="Maria Gomez"/>
    <s v="Avianca"/>
    <n v="575354"/>
    <s v="Food"/>
    <n v="11048"/>
    <n v="0"/>
    <x v="0"/>
    <x v="0"/>
    <x v="2"/>
  </r>
  <r>
    <n v="1028"/>
    <s v="Maria Gomez"/>
    <s v="Avianca"/>
    <n v="902351"/>
    <s v="Hotel"/>
    <n v="245670"/>
    <n v="8"/>
    <x v="2"/>
    <x v="0"/>
    <x v="2"/>
  </r>
  <r>
    <n v="1029"/>
    <s v="Diego Castro"/>
    <s v="LATAM"/>
    <n v="561079"/>
    <s v="Hotel"/>
    <n v="147110"/>
    <n v="6"/>
    <x v="1"/>
    <x v="0"/>
    <x v="2"/>
  </r>
  <r>
    <n v="1030"/>
    <s v="Jorge Medina"/>
    <s v="LATAM"/>
    <n v="825873"/>
    <s v="Food"/>
    <n v="20641"/>
    <n v="0"/>
    <x v="0"/>
    <x v="0"/>
    <x v="1"/>
  </r>
  <r>
    <n v="1031"/>
    <s v="Juan Perez"/>
    <s v="LATAM"/>
    <n v="694227"/>
    <s v="Hotel"/>
    <n v="166685"/>
    <n v="5"/>
    <x v="1"/>
    <x v="0"/>
    <x v="1"/>
  </r>
  <r>
    <n v="1032"/>
    <s v="Natalia Cruz"/>
    <s v="LATAM"/>
    <n v="820092"/>
    <s v="Food"/>
    <n v="44662"/>
    <n v="1"/>
    <x v="2"/>
    <x v="1"/>
    <x v="1"/>
  </r>
  <r>
    <n v="1033"/>
    <s v="Carlos Ruiz"/>
    <s v="LATAM"/>
    <n v="781521"/>
    <s v="Food"/>
    <n v="33714"/>
    <n v="0"/>
    <x v="0"/>
    <x v="0"/>
    <x v="2"/>
  </r>
  <r>
    <n v="1034"/>
    <s v="Juan Perez"/>
    <s v="Avianca"/>
    <n v="576512"/>
    <s v="Food"/>
    <n v="16198"/>
    <n v="0"/>
    <x v="0"/>
    <x v="0"/>
    <x v="2"/>
  </r>
  <r>
    <n v="1035"/>
    <s v="Natalia Cruz"/>
    <s v="Avianca"/>
    <n v="908854"/>
    <s v="Food"/>
    <n v="40825"/>
    <n v="1"/>
    <x v="1"/>
    <x v="1"/>
    <x v="2"/>
  </r>
  <r>
    <n v="1036"/>
    <s v="Pedro Silva"/>
    <s v="LATAM"/>
    <n v="605258"/>
    <s v="Hotel"/>
    <n v="225908"/>
    <n v="8"/>
    <x v="1"/>
    <x v="0"/>
    <x v="2"/>
  </r>
  <r>
    <n v="1037"/>
    <s v="Oscar Pineda"/>
    <s v="LATAM"/>
    <n v="721961"/>
    <s v="Hotel"/>
    <n v="156820"/>
    <n v="7"/>
    <x v="1"/>
    <x v="0"/>
    <x v="2"/>
  </r>
  <r>
    <n v="1038"/>
    <s v="Ana Torres"/>
    <s v="LATAM"/>
    <n v="748523"/>
    <s v="Hotel"/>
    <n v="179825"/>
    <n v="6"/>
    <x v="1"/>
    <x v="0"/>
    <x v="1"/>
  </r>
  <r>
    <n v="1039"/>
    <s v="Carlos Ruiz"/>
    <s v="Avianca"/>
    <n v="798957"/>
    <s v="Food"/>
    <n v="37111"/>
    <n v="0"/>
    <x v="0"/>
    <x v="0"/>
    <x v="1"/>
  </r>
  <r>
    <n v="1040"/>
    <s v="Paula Vega"/>
    <s v="Avianca"/>
    <n v="849545"/>
    <s v="Food"/>
    <n v="21128"/>
    <n v="0"/>
    <x v="0"/>
    <x v="0"/>
    <x v="1"/>
  </r>
  <r>
    <n v="1041"/>
    <s v="Paula Vega"/>
    <s v="Avianca"/>
    <n v="509550"/>
    <s v="Hotel"/>
    <n v="145682"/>
    <n v="8"/>
    <x v="1"/>
    <x v="0"/>
    <x v="0"/>
  </r>
  <r>
    <n v="1042"/>
    <s v="Felipe Naranjo"/>
    <s v="Avianca"/>
    <n v="792300"/>
    <s v="Hotel"/>
    <n v="246450"/>
    <n v="8"/>
    <x v="2"/>
    <x v="0"/>
    <x v="2"/>
  </r>
  <r>
    <n v="1043"/>
    <s v="Carlos Ruiz"/>
    <s v="LATAM"/>
    <n v="691309"/>
    <s v="Food"/>
    <n v="46027"/>
    <n v="0"/>
    <x v="0"/>
    <x v="0"/>
    <x v="0"/>
  </r>
  <r>
    <n v="1044"/>
    <s v="Luis Martinez"/>
    <s v="Avianca"/>
    <n v="758053"/>
    <s v="Transport"/>
    <n v="76062"/>
    <n v="3"/>
    <x v="2"/>
    <x v="0"/>
    <x v="0"/>
  </r>
  <r>
    <n v="1045"/>
    <s v="Paula Vega"/>
    <s v="Avianca"/>
    <n v="714398"/>
    <s v="Hotel"/>
    <n v="242638"/>
    <n v="7"/>
    <x v="1"/>
    <x v="0"/>
    <x v="1"/>
  </r>
  <r>
    <n v="1046"/>
    <s v="Luis Martinez"/>
    <s v="LATAM"/>
    <n v="681005"/>
    <s v="Food"/>
    <n v="31933"/>
    <n v="0"/>
    <x v="0"/>
    <x v="0"/>
    <x v="2"/>
  </r>
  <r>
    <n v="1047"/>
    <s v="Sofia Ramirez"/>
    <s v="LATAM"/>
    <n v="597061"/>
    <s v="Food"/>
    <n v="47913"/>
    <n v="0"/>
    <x v="0"/>
    <x v="0"/>
    <x v="0"/>
  </r>
  <r>
    <n v="1048"/>
    <s v="Jorge Medina"/>
    <s v="LATAM"/>
    <n v="943938"/>
    <s v="Food"/>
    <n v="36588"/>
    <n v="0"/>
    <x v="0"/>
    <x v="0"/>
    <x v="1"/>
  </r>
  <r>
    <n v="1049"/>
    <s v="Camila Diaz"/>
    <s v="Avianca"/>
    <n v="829805"/>
    <s v="Food"/>
    <n v="10064"/>
    <n v="1"/>
    <x v="2"/>
    <x v="1"/>
    <x v="2"/>
  </r>
  <r>
    <n v="1050"/>
    <s v="Luis Martinez"/>
    <s v="LATAM"/>
    <n v="709179"/>
    <s v="Food"/>
    <n v="39683"/>
    <n v="2"/>
    <x v="2"/>
    <x v="1"/>
    <x v="0"/>
  </r>
  <r>
    <n v="1051"/>
    <s v="Daniel Mora"/>
    <s v="Avianca"/>
    <n v="521683"/>
    <s v="Transport"/>
    <n v="84740"/>
    <n v="3"/>
    <x v="1"/>
    <x v="0"/>
    <x v="0"/>
  </r>
  <r>
    <n v="1052"/>
    <s v="Paula Vega"/>
    <s v="LATAM"/>
    <n v="646684"/>
    <s v="Food"/>
    <n v="30413"/>
    <n v="0"/>
    <x v="0"/>
    <x v="0"/>
    <x v="1"/>
  </r>
  <r>
    <n v="1053"/>
    <s v="Sofia Ramirez"/>
    <s v="Avianca"/>
    <n v="796829"/>
    <s v="Transport"/>
    <n v="69758"/>
    <n v="3"/>
    <x v="2"/>
    <x v="0"/>
    <x v="1"/>
  </r>
  <r>
    <n v="1054"/>
    <s v="Jorge Medina"/>
    <s v="LATAM"/>
    <n v="533088"/>
    <s v="Food"/>
    <n v="38655"/>
    <n v="0"/>
    <x v="0"/>
    <x v="0"/>
    <x v="1"/>
  </r>
  <r>
    <n v="1055"/>
    <s v="Juan Perez"/>
    <s v="LATAM"/>
    <n v="918725"/>
    <s v="Food"/>
    <n v="20480"/>
    <n v="0"/>
    <x v="0"/>
    <x v="0"/>
    <x v="1"/>
  </r>
  <r>
    <n v="1056"/>
    <s v="Ana Torres"/>
    <s v="Avianca"/>
    <n v="867194"/>
    <s v="Food"/>
    <n v="33074"/>
    <n v="1"/>
    <x v="1"/>
    <x v="1"/>
    <x v="0"/>
  </r>
  <r>
    <n v="1057"/>
    <s v="Oscar Pineda"/>
    <s v="LATAM"/>
    <n v="896581"/>
    <s v="Transport"/>
    <n v="81256"/>
    <n v="3"/>
    <x v="2"/>
    <x v="0"/>
    <x v="0"/>
  </r>
  <r>
    <n v="1058"/>
    <s v="Daniel Mora"/>
    <s v="LATAM"/>
    <n v="826438"/>
    <s v="Hotel"/>
    <n v="119080"/>
    <n v="8"/>
    <x v="2"/>
    <x v="0"/>
    <x v="2"/>
  </r>
  <r>
    <n v="1059"/>
    <s v="Oscar Pineda"/>
    <s v="Avianca"/>
    <n v="882244"/>
    <s v="Food"/>
    <n v="20719"/>
    <n v="0"/>
    <x v="0"/>
    <x v="0"/>
    <x v="2"/>
  </r>
  <r>
    <n v="1060"/>
    <s v="Oscar Pineda"/>
    <s v="LATAM"/>
    <n v="898005"/>
    <s v="Food"/>
    <n v="40227"/>
    <n v="1"/>
    <x v="1"/>
    <x v="1"/>
    <x v="1"/>
  </r>
  <r>
    <n v="1061"/>
    <s v="Paula Vega"/>
    <s v="Avianca"/>
    <n v="601337"/>
    <s v="Food"/>
    <n v="35387"/>
    <n v="2"/>
    <x v="1"/>
    <x v="1"/>
    <x v="2"/>
  </r>
  <r>
    <n v="1062"/>
    <s v="Oscar Pineda"/>
    <s v="LATAM"/>
    <n v="602208"/>
    <s v="Food"/>
    <n v="49313"/>
    <n v="0"/>
    <x v="0"/>
    <x v="0"/>
    <x v="1"/>
  </r>
  <r>
    <n v="1063"/>
    <s v="Maria Gomez"/>
    <s v="LATAM"/>
    <n v="835749"/>
    <s v="Food"/>
    <n v="45031"/>
    <n v="1"/>
    <x v="1"/>
    <x v="1"/>
    <x v="2"/>
  </r>
  <r>
    <n v="1064"/>
    <s v="Camila Diaz"/>
    <s v="LATAM"/>
    <n v="532156"/>
    <s v="Hotel"/>
    <n v="209179"/>
    <n v="8"/>
    <x v="1"/>
    <x v="0"/>
    <x v="0"/>
  </r>
  <r>
    <n v="1065"/>
    <s v="Diego Castro"/>
    <s v="Avianca"/>
    <n v="634753"/>
    <s v="Food"/>
    <n v="49414"/>
    <n v="0"/>
    <x v="0"/>
    <x v="0"/>
    <x v="0"/>
  </r>
  <r>
    <n v="1066"/>
    <s v="Carlos Ruiz"/>
    <s v="LATAM"/>
    <n v="879777"/>
    <s v="Hotel"/>
    <n v="197957"/>
    <n v="7"/>
    <x v="1"/>
    <x v="0"/>
    <x v="0"/>
  </r>
  <r>
    <n v="1067"/>
    <s v="Luis Martinez"/>
    <s v="LATAM"/>
    <n v="788657"/>
    <s v="Food"/>
    <n v="31328"/>
    <n v="1"/>
    <x v="1"/>
    <x v="1"/>
    <x v="1"/>
  </r>
  <r>
    <n v="1068"/>
    <s v="Ana Torres"/>
    <s v="LATAM"/>
    <n v="705788"/>
    <s v="Hotel"/>
    <n v="183591"/>
    <n v="4"/>
    <x v="2"/>
    <x v="0"/>
    <x v="1"/>
  </r>
  <r>
    <n v="1069"/>
    <s v="Valeria Soto"/>
    <s v="Avianca"/>
    <n v="597587"/>
    <s v="Hotel"/>
    <n v="184152"/>
    <n v="5"/>
    <x v="2"/>
    <x v="0"/>
    <x v="0"/>
  </r>
  <r>
    <n v="1070"/>
    <s v="Paula Vega"/>
    <s v="Avianca"/>
    <n v="884294"/>
    <s v="Food"/>
    <n v="16252"/>
    <n v="0"/>
    <x v="0"/>
    <x v="0"/>
    <x v="0"/>
  </r>
  <r>
    <n v="1071"/>
    <s v="Daniela Ruiz"/>
    <s v="Avianca"/>
    <n v="891196"/>
    <s v="Food"/>
    <n v="29272"/>
    <n v="1"/>
    <x v="2"/>
    <x v="1"/>
    <x v="1"/>
  </r>
  <r>
    <n v="1072"/>
    <s v="Ana Torres"/>
    <s v="LATAM"/>
    <n v="805487"/>
    <s v="Food"/>
    <n v="33240"/>
    <n v="0"/>
    <x v="0"/>
    <x v="0"/>
    <x v="1"/>
  </r>
  <r>
    <n v="1073"/>
    <s v="Oscar Pineda"/>
    <s v="Avianca"/>
    <n v="561845"/>
    <s v="Food"/>
    <n v="37131"/>
    <n v="0"/>
    <x v="0"/>
    <x v="0"/>
    <x v="2"/>
  </r>
  <r>
    <n v="1074"/>
    <s v="Natalia Cruz"/>
    <s v="Avianca"/>
    <n v="629131"/>
    <s v="Hotel"/>
    <n v="116128"/>
    <n v="7"/>
    <x v="2"/>
    <x v="0"/>
    <x v="2"/>
  </r>
  <r>
    <n v="1075"/>
    <s v="Andres Lopez"/>
    <s v="Avianca"/>
    <n v="844460"/>
    <s v="Food"/>
    <n v="27720"/>
    <n v="0"/>
    <x v="0"/>
    <x v="0"/>
    <x v="0"/>
  </r>
  <r>
    <n v="1076"/>
    <s v="Camila Diaz"/>
    <s v="LATAM"/>
    <n v="580721"/>
    <s v="Hotel"/>
    <n v="235589"/>
    <n v="6"/>
    <x v="1"/>
    <x v="0"/>
    <x v="2"/>
  </r>
  <r>
    <n v="1077"/>
    <s v="Daniela Ruiz"/>
    <s v="LATAM"/>
    <n v="678074"/>
    <s v="Hotel"/>
    <n v="190005"/>
    <n v="6"/>
    <x v="1"/>
    <x v="0"/>
    <x v="2"/>
  </r>
  <r>
    <n v="1078"/>
    <s v="Natalia Cruz"/>
    <s v="LATAM"/>
    <n v="880506"/>
    <s v="Food"/>
    <n v="49648"/>
    <n v="0"/>
    <x v="0"/>
    <x v="0"/>
    <x v="1"/>
  </r>
  <r>
    <n v="1079"/>
    <s v="Paula Vega"/>
    <s v="LATAM"/>
    <n v="512232"/>
    <s v="Hotel"/>
    <n v="151245"/>
    <n v="6"/>
    <x v="1"/>
    <x v="0"/>
    <x v="1"/>
  </r>
  <r>
    <n v="1080"/>
    <s v="Sofia Ramirez"/>
    <s v="Avianca"/>
    <n v="767116"/>
    <s v="Food"/>
    <n v="26151"/>
    <n v="0"/>
    <x v="0"/>
    <x v="0"/>
    <x v="0"/>
  </r>
  <r>
    <n v="1081"/>
    <s v="Andres Lopez"/>
    <s v="Avianca"/>
    <n v="590055"/>
    <s v="Food"/>
    <n v="37841"/>
    <n v="0"/>
    <x v="0"/>
    <x v="0"/>
    <x v="1"/>
  </r>
  <r>
    <n v="1082"/>
    <s v="Ana Torres"/>
    <s v="LATAM"/>
    <n v="718179"/>
    <s v="Hotel"/>
    <n v="139634"/>
    <n v="4"/>
    <x v="2"/>
    <x v="0"/>
    <x v="2"/>
  </r>
  <r>
    <n v="1083"/>
    <s v="Laura Vargas"/>
    <s v="Avianca"/>
    <n v="570901"/>
    <s v="Hotel"/>
    <n v="249818"/>
    <n v="6"/>
    <x v="1"/>
    <x v="0"/>
    <x v="2"/>
  </r>
  <r>
    <n v="1084"/>
    <s v="Daniela Ruiz"/>
    <s v="LATAM"/>
    <n v="710206"/>
    <s v="Food"/>
    <n v="27769"/>
    <n v="2"/>
    <x v="1"/>
    <x v="1"/>
    <x v="1"/>
  </r>
  <r>
    <n v="1085"/>
    <s v="Natalia Cruz"/>
    <s v="Avianca"/>
    <n v="842628"/>
    <s v="Hotel"/>
    <n v="238944"/>
    <n v="4"/>
    <x v="1"/>
    <x v="0"/>
    <x v="0"/>
  </r>
  <r>
    <n v="1086"/>
    <s v="Paula Vega"/>
    <s v="Avianca"/>
    <n v="853758"/>
    <s v="Food"/>
    <n v="24740"/>
    <n v="0"/>
    <x v="0"/>
    <x v="0"/>
    <x v="2"/>
  </r>
  <r>
    <n v="1087"/>
    <s v="Diego Castro"/>
    <s v="LATAM"/>
    <n v="636605"/>
    <s v="Hotel"/>
    <n v="124991"/>
    <n v="4"/>
    <x v="2"/>
    <x v="0"/>
    <x v="1"/>
  </r>
  <r>
    <n v="1088"/>
    <s v="Carlos Ruiz"/>
    <s v="Avianca"/>
    <n v="655357"/>
    <s v="Hotel"/>
    <n v="228602"/>
    <n v="5"/>
    <x v="1"/>
    <x v="0"/>
    <x v="2"/>
  </r>
  <r>
    <n v="1089"/>
    <s v="Daniel Mora"/>
    <s v="LATAM"/>
    <n v="638538"/>
    <s v="Food"/>
    <n v="48210"/>
    <n v="0"/>
    <x v="0"/>
    <x v="0"/>
    <x v="2"/>
  </r>
  <r>
    <n v="1090"/>
    <s v="Juan Perez"/>
    <s v="Avianca"/>
    <n v="922129"/>
    <s v="Hotel"/>
    <n v="177597"/>
    <n v="5"/>
    <x v="2"/>
    <x v="0"/>
    <x v="2"/>
  </r>
  <r>
    <n v="1091"/>
    <s v="Ana Torres"/>
    <s v="LATAM"/>
    <n v="677906"/>
    <s v="Food"/>
    <n v="40071"/>
    <n v="0"/>
    <x v="0"/>
    <x v="0"/>
    <x v="0"/>
  </r>
  <r>
    <n v="1092"/>
    <s v="Luis Martinez"/>
    <s v="LATAM"/>
    <n v="698507"/>
    <s v="Food"/>
    <n v="21150"/>
    <n v="0"/>
    <x v="0"/>
    <x v="0"/>
    <x v="2"/>
  </r>
  <r>
    <n v="1093"/>
    <s v="Diego Castro"/>
    <s v="LATAM"/>
    <n v="810358"/>
    <s v="Hotel"/>
    <n v="152073"/>
    <n v="4"/>
    <x v="2"/>
    <x v="0"/>
    <x v="0"/>
  </r>
  <r>
    <n v="1094"/>
    <s v="Andres Lopez"/>
    <s v="Avianca"/>
    <n v="911025"/>
    <s v="Hotel"/>
    <n v="248724"/>
    <n v="7"/>
    <x v="1"/>
    <x v="0"/>
    <x v="0"/>
  </r>
  <r>
    <n v="1095"/>
    <s v="Pedro Silva"/>
    <s v="Avianca"/>
    <n v="593082"/>
    <s v="Food"/>
    <n v="18914"/>
    <n v="0"/>
    <x v="0"/>
    <x v="0"/>
    <x v="1"/>
  </r>
  <r>
    <n v="1096"/>
    <s v="Luis Martinez"/>
    <s v="LATAM"/>
    <n v="943164"/>
    <s v="Food"/>
    <n v="34684"/>
    <n v="0"/>
    <x v="0"/>
    <x v="0"/>
    <x v="2"/>
  </r>
  <r>
    <n v="1097"/>
    <s v="Oscar Pineda"/>
    <s v="Avianca"/>
    <n v="839459"/>
    <s v="Food"/>
    <n v="12600"/>
    <n v="0"/>
    <x v="0"/>
    <x v="0"/>
    <x v="1"/>
  </r>
  <r>
    <n v="1098"/>
    <s v="Paula Vega"/>
    <s v="LATAM"/>
    <n v="732498"/>
    <s v="Food"/>
    <n v="16723"/>
    <n v="0"/>
    <x v="0"/>
    <x v="0"/>
    <x v="0"/>
  </r>
  <r>
    <n v="1099"/>
    <s v="Felipe Naranjo"/>
    <s v="LATAM"/>
    <n v="619013"/>
    <s v="Food"/>
    <n v="22644"/>
    <n v="2"/>
    <x v="1"/>
    <x v="1"/>
    <x v="0"/>
  </r>
  <r>
    <n v="1100"/>
    <s v="Luisa Rojas"/>
    <s v="Avianca"/>
    <n v="704969"/>
    <s v="Hotel"/>
    <n v="184619"/>
    <n v="5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9705B-D071-4C36-8D1C-0E981228A3C2}" name="Distribucion_Gastos_por_Tipo_Incidencia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colHeaderCaption="Aplica Ref">
  <location ref="N2:Q7" firstHeaderRow="1" firstDataRow="2" firstDataCol="1"/>
  <pivotFields count="10">
    <pivotField showAll="0"/>
    <pivotField showAll="0"/>
    <pivotField showAll="0"/>
    <pivotField showAll="0"/>
    <pivotField showAll="0"/>
    <pivotField dataField="1" numFmtId="167"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Tipo de queja" fld="5" baseField="0" baseItem="0" numFmtId="167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7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laint_Type" xr10:uid="{EADB4014-EDA4-4631-8843-1E5908DB8598}" sourceName="Complaint_Type">
  <pivotTables>
    <pivotTable tabId="1" name="Distribucion_Gastos_por_Tipo_Incidencia"/>
  </pivotTables>
  <data>
    <tabular pivotCacheId="64447243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DDB60D93-F6DF-4D31-B590-88E466FBC734}" sourceName="Status">
  <pivotTables>
    <pivotTable tabId="1" name="Distribucion_Gastos_por_Tipo_Incidencia"/>
  </pivotTables>
  <data>
    <tabular pivotCacheId="64447243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aint_Type" xr10:uid="{F89AF8A4-ED69-427E-B2F0-3D4D65945A2E}" cache="SegmentaciónDeDatos_Complaint_Type" caption="Complaint_Type" rowHeight="234950"/>
  <slicer name="Status" xr10:uid="{EB8D13FE-D3FF-415F-B2D2-82DF0F392D15}" cache="SegmentaciónDeDatos_Status" caption="Status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G13" sqref="G13"/>
    </sheetView>
  </sheetViews>
  <sheetFormatPr baseColWidth="10" defaultColWidth="8.88671875" defaultRowHeight="14.4" x14ac:dyDescent="0.3"/>
  <cols>
    <col min="1" max="1" width="10.5546875" bestFit="1" customWidth="1"/>
    <col min="2" max="2" width="7.77734375" bestFit="1" customWidth="1"/>
    <col min="3" max="3" width="15.44140625" bestFit="1" customWidth="1"/>
    <col min="4" max="4" width="7.6640625" bestFit="1" customWidth="1"/>
    <col min="5" max="5" width="12.33203125" bestFit="1" customWidth="1"/>
    <col min="6" max="6" width="13.33203125" bestFit="1" customWidth="1"/>
    <col min="7" max="7" width="16.21875" bestFit="1" customWidth="1"/>
    <col min="8" max="8" width="11.77734375" bestFit="1" customWidth="1"/>
    <col min="9" max="9" width="15" bestFit="1" customWidth="1"/>
    <col min="10" max="10" width="14.5546875" bestFit="1" customWidth="1"/>
    <col min="11" max="11" width="8" bestFit="1" customWidth="1"/>
    <col min="14" max="14" width="17.109375" bestFit="1" customWidth="1"/>
    <col min="15" max="15" width="11.77734375" bestFit="1" customWidth="1"/>
    <col min="16" max="16" width="11.44140625" bestFit="1" customWidth="1"/>
    <col min="17" max="17" width="12.21875" bestFit="1" customWidth="1"/>
    <col min="18" max="18" width="12.44140625" customWidth="1"/>
    <col min="19" max="19" width="17.109375" bestFit="1" customWidth="1"/>
    <col min="20" max="20" width="29" bestFit="1" customWidth="1"/>
    <col min="21" max="21" width="21.88671875" bestFit="1" customWidth="1"/>
  </cols>
  <sheetData>
    <row r="1" spans="1:17" x14ac:dyDescent="0.3">
      <c r="A1" s="6" t="s">
        <v>50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7" x14ac:dyDescent="0.3">
      <c r="A2" s="7">
        <v>46034</v>
      </c>
      <c r="B2">
        <v>1001</v>
      </c>
      <c r="C2" t="s">
        <v>10</v>
      </c>
      <c r="D2" t="s">
        <v>11</v>
      </c>
      <c r="E2" s="1">
        <v>916958</v>
      </c>
      <c r="F2" t="str">
        <f>IF(H2&lt;3,"Food",IF(H2=3,"Transport","Hotel"))</f>
        <v>Food</v>
      </c>
      <c r="G2" s="1">
        <v>39033</v>
      </c>
      <c r="H2">
        <v>0</v>
      </c>
      <c r="I2" t="s">
        <v>12</v>
      </c>
      <c r="J2" t="str">
        <f>IF(OR(I2="Cancellation", H2&gt;=3), "Yes", "No")</f>
        <v>Yes</v>
      </c>
      <c r="K2" t="s">
        <v>14</v>
      </c>
      <c r="N2" s="3" t="s">
        <v>42</v>
      </c>
      <c r="O2" s="3" t="s">
        <v>43</v>
      </c>
    </row>
    <row r="3" spans="1:17" x14ac:dyDescent="0.3">
      <c r="A3" s="7">
        <v>46034</v>
      </c>
      <c r="B3">
        <v>1002</v>
      </c>
      <c r="C3" t="s">
        <v>15</v>
      </c>
      <c r="D3" t="s">
        <v>16</v>
      </c>
      <c r="E3" s="1">
        <v>602660</v>
      </c>
      <c r="F3" t="str">
        <f t="shared" ref="F3:F66" si="0">IF(H3&lt;3,"Food",IF(H3=3,"Transport","Hotel"))</f>
        <v>Food</v>
      </c>
      <c r="G3" s="1">
        <v>36894</v>
      </c>
      <c r="H3">
        <v>2</v>
      </c>
      <c r="I3" t="s">
        <v>17</v>
      </c>
      <c r="J3" t="str">
        <f t="shared" ref="J3:J66" si="1">IF(OR(I3="Cancellation", H3&gt;=3), "Yes", "No")</f>
        <v>No</v>
      </c>
      <c r="K3" t="s">
        <v>14</v>
      </c>
      <c r="N3" s="3" t="s">
        <v>41</v>
      </c>
      <c r="O3" t="s">
        <v>22</v>
      </c>
      <c r="P3" t="s">
        <v>13</v>
      </c>
      <c r="Q3" t="s">
        <v>40</v>
      </c>
    </row>
    <row r="4" spans="1:17" x14ac:dyDescent="0.3">
      <c r="A4" s="7">
        <v>46034</v>
      </c>
      <c r="B4">
        <v>1003</v>
      </c>
      <c r="C4" t="s">
        <v>18</v>
      </c>
      <c r="D4" t="s">
        <v>11</v>
      </c>
      <c r="E4" s="1">
        <v>901651</v>
      </c>
      <c r="F4" t="str">
        <f t="shared" si="0"/>
        <v>Food</v>
      </c>
      <c r="G4" s="1">
        <v>21755</v>
      </c>
      <c r="H4">
        <v>0</v>
      </c>
      <c r="I4" t="s">
        <v>12</v>
      </c>
      <c r="J4" t="str">
        <f t="shared" si="1"/>
        <v>Yes</v>
      </c>
      <c r="K4" t="s">
        <v>19</v>
      </c>
      <c r="N4" s="4" t="s">
        <v>12</v>
      </c>
      <c r="O4" s="2"/>
      <c r="P4" s="2">
        <v>1219039</v>
      </c>
      <c r="Q4" s="2">
        <v>1219039</v>
      </c>
    </row>
    <row r="5" spans="1:17" x14ac:dyDescent="0.3">
      <c r="A5" s="7">
        <v>46034</v>
      </c>
      <c r="B5">
        <v>1004</v>
      </c>
      <c r="C5" t="s">
        <v>20</v>
      </c>
      <c r="D5" t="s">
        <v>11</v>
      </c>
      <c r="E5" s="1">
        <v>884609</v>
      </c>
      <c r="F5" t="str">
        <f t="shared" si="0"/>
        <v>Hotel</v>
      </c>
      <c r="G5" s="1">
        <v>24287</v>
      </c>
      <c r="H5">
        <v>4</v>
      </c>
      <c r="I5" t="s">
        <v>21</v>
      </c>
      <c r="J5" t="str">
        <f t="shared" si="1"/>
        <v>Yes</v>
      </c>
      <c r="K5" t="s">
        <v>14</v>
      </c>
      <c r="N5" s="4" t="s">
        <v>17</v>
      </c>
      <c r="O5" s="2">
        <v>306288</v>
      </c>
      <c r="P5" s="2">
        <v>4894720</v>
      </c>
      <c r="Q5" s="2">
        <v>5201008</v>
      </c>
    </row>
    <row r="6" spans="1:17" x14ac:dyDescent="0.3">
      <c r="A6" s="7">
        <v>46034</v>
      </c>
      <c r="B6">
        <v>1005</v>
      </c>
      <c r="C6" t="s">
        <v>18</v>
      </c>
      <c r="D6" t="s">
        <v>16</v>
      </c>
      <c r="E6" s="1">
        <v>779814</v>
      </c>
      <c r="F6" t="str">
        <f t="shared" si="0"/>
        <v>Hotel</v>
      </c>
      <c r="G6" s="1">
        <v>116421</v>
      </c>
      <c r="H6">
        <v>8</v>
      </c>
      <c r="I6" t="s">
        <v>21</v>
      </c>
      <c r="J6" t="str">
        <f t="shared" si="1"/>
        <v>Yes</v>
      </c>
      <c r="K6" t="s">
        <v>19</v>
      </c>
      <c r="N6" s="4" t="s">
        <v>21</v>
      </c>
      <c r="O6" s="2">
        <v>204462</v>
      </c>
      <c r="P6" s="2">
        <v>2475252</v>
      </c>
      <c r="Q6" s="2">
        <v>2679714</v>
      </c>
    </row>
    <row r="7" spans="1:17" x14ac:dyDescent="0.3">
      <c r="A7" s="7">
        <v>46034</v>
      </c>
      <c r="B7">
        <v>1006</v>
      </c>
      <c r="C7" t="s">
        <v>20</v>
      </c>
      <c r="D7" t="s">
        <v>11</v>
      </c>
      <c r="E7" s="1">
        <v>526569</v>
      </c>
      <c r="F7" t="str">
        <f t="shared" si="0"/>
        <v>Transport</v>
      </c>
      <c r="G7" s="1">
        <v>36781</v>
      </c>
      <c r="H7">
        <v>3</v>
      </c>
      <c r="I7" t="s">
        <v>17</v>
      </c>
      <c r="J7" t="str">
        <f t="shared" si="1"/>
        <v>Yes</v>
      </c>
      <c r="K7" t="s">
        <v>19</v>
      </c>
      <c r="N7" s="4" t="s">
        <v>40</v>
      </c>
      <c r="O7" s="2">
        <v>510750</v>
      </c>
      <c r="P7" s="2">
        <v>8589011</v>
      </c>
      <c r="Q7" s="2">
        <v>9099761</v>
      </c>
    </row>
    <row r="8" spans="1:17" x14ac:dyDescent="0.3">
      <c r="A8" s="7">
        <v>46034</v>
      </c>
      <c r="B8">
        <v>1007</v>
      </c>
      <c r="C8" t="s">
        <v>23</v>
      </c>
      <c r="D8" t="s">
        <v>16</v>
      </c>
      <c r="E8" s="1">
        <v>649728</v>
      </c>
      <c r="F8" t="str">
        <f t="shared" si="0"/>
        <v>Hotel</v>
      </c>
      <c r="G8" s="1">
        <v>189319</v>
      </c>
      <c r="H8">
        <v>5</v>
      </c>
      <c r="I8" t="s">
        <v>17</v>
      </c>
      <c r="J8" t="str">
        <f t="shared" si="1"/>
        <v>Yes</v>
      </c>
      <c r="K8" t="s">
        <v>19</v>
      </c>
    </row>
    <row r="9" spans="1:17" x14ac:dyDescent="0.3">
      <c r="A9" s="7">
        <v>46034</v>
      </c>
      <c r="B9">
        <v>1008</v>
      </c>
      <c r="C9" t="s">
        <v>24</v>
      </c>
      <c r="D9" t="s">
        <v>16</v>
      </c>
      <c r="E9" s="1">
        <v>781156</v>
      </c>
      <c r="F9" t="str">
        <f t="shared" si="0"/>
        <v>Food</v>
      </c>
      <c r="G9" s="1">
        <v>42295</v>
      </c>
      <c r="H9">
        <v>0</v>
      </c>
      <c r="I9" t="s">
        <v>12</v>
      </c>
      <c r="J9" t="str">
        <f t="shared" si="1"/>
        <v>Yes</v>
      </c>
      <c r="K9" t="s">
        <v>14</v>
      </c>
    </row>
    <row r="10" spans="1:17" x14ac:dyDescent="0.3">
      <c r="A10" s="7">
        <v>46034</v>
      </c>
      <c r="B10">
        <v>1009</v>
      </c>
      <c r="C10" t="s">
        <v>25</v>
      </c>
      <c r="D10" t="s">
        <v>16</v>
      </c>
      <c r="E10" s="1">
        <v>825238</v>
      </c>
      <c r="F10" t="str">
        <f t="shared" si="0"/>
        <v>Food</v>
      </c>
      <c r="G10" s="1">
        <v>13924</v>
      </c>
      <c r="H10">
        <v>0</v>
      </c>
      <c r="I10" t="s">
        <v>12</v>
      </c>
      <c r="J10" t="str">
        <f t="shared" si="1"/>
        <v>Yes</v>
      </c>
      <c r="K10" t="s">
        <v>19</v>
      </c>
    </row>
    <row r="11" spans="1:17" x14ac:dyDescent="0.3">
      <c r="A11" s="7">
        <v>46034</v>
      </c>
      <c r="B11">
        <v>1010</v>
      </c>
      <c r="C11" t="s">
        <v>26</v>
      </c>
      <c r="D11" t="s">
        <v>11</v>
      </c>
      <c r="E11" s="1">
        <v>606904</v>
      </c>
      <c r="F11" t="str">
        <f t="shared" si="0"/>
        <v>Transport</v>
      </c>
      <c r="G11" s="1">
        <v>157376</v>
      </c>
      <c r="H11">
        <v>3</v>
      </c>
      <c r="I11" t="s">
        <v>21</v>
      </c>
      <c r="J11" t="str">
        <f t="shared" si="1"/>
        <v>Yes</v>
      </c>
      <c r="K11" t="s">
        <v>14</v>
      </c>
    </row>
    <row r="12" spans="1:17" x14ac:dyDescent="0.3">
      <c r="A12" s="7">
        <v>46034</v>
      </c>
      <c r="B12">
        <v>1011</v>
      </c>
      <c r="C12" t="s">
        <v>27</v>
      </c>
      <c r="D12" t="s">
        <v>11</v>
      </c>
      <c r="E12" s="1">
        <v>686302</v>
      </c>
      <c r="F12" t="str">
        <f t="shared" si="0"/>
        <v>Food</v>
      </c>
      <c r="G12" s="1">
        <v>20633</v>
      </c>
      <c r="H12">
        <v>0</v>
      </c>
      <c r="I12" t="s">
        <v>12</v>
      </c>
      <c r="J12" t="str">
        <f t="shared" si="1"/>
        <v>Yes</v>
      </c>
      <c r="K12" t="s">
        <v>14</v>
      </c>
    </row>
    <row r="13" spans="1:17" x14ac:dyDescent="0.3">
      <c r="A13" s="7">
        <v>46034</v>
      </c>
      <c r="B13">
        <v>1012</v>
      </c>
      <c r="C13" t="s">
        <v>27</v>
      </c>
      <c r="D13" t="s">
        <v>16</v>
      </c>
      <c r="E13" s="1">
        <v>611543</v>
      </c>
      <c r="F13" t="str">
        <f t="shared" si="0"/>
        <v>Food</v>
      </c>
      <c r="G13" s="1">
        <v>27564</v>
      </c>
      <c r="H13">
        <v>1</v>
      </c>
      <c r="I13" t="s">
        <v>21</v>
      </c>
      <c r="J13" t="str">
        <f t="shared" si="1"/>
        <v>No</v>
      </c>
      <c r="K13" t="s">
        <v>28</v>
      </c>
    </row>
    <row r="14" spans="1:17" x14ac:dyDescent="0.3">
      <c r="A14" s="7">
        <v>46034</v>
      </c>
      <c r="B14">
        <v>1013</v>
      </c>
      <c r="C14" t="s">
        <v>18</v>
      </c>
      <c r="D14" t="s">
        <v>16</v>
      </c>
      <c r="E14" s="1">
        <v>893798</v>
      </c>
      <c r="F14" t="str">
        <f t="shared" si="0"/>
        <v>Food</v>
      </c>
      <c r="G14" s="1">
        <v>18579</v>
      </c>
      <c r="H14">
        <v>0</v>
      </c>
      <c r="I14" t="s">
        <v>12</v>
      </c>
      <c r="J14" t="str">
        <f t="shared" si="1"/>
        <v>Yes</v>
      </c>
      <c r="K14" t="s">
        <v>28</v>
      </c>
    </row>
    <row r="15" spans="1:17" x14ac:dyDescent="0.3">
      <c r="A15" s="7">
        <v>46034</v>
      </c>
      <c r="B15">
        <v>1014</v>
      </c>
      <c r="C15" t="s">
        <v>29</v>
      </c>
      <c r="D15" t="s">
        <v>16</v>
      </c>
      <c r="E15" s="1">
        <v>934107</v>
      </c>
      <c r="F15" t="str">
        <f t="shared" si="0"/>
        <v>Transport</v>
      </c>
      <c r="G15" s="1">
        <v>228193</v>
      </c>
      <c r="H15">
        <v>3</v>
      </c>
      <c r="I15" t="s">
        <v>17</v>
      </c>
      <c r="J15" t="str">
        <f t="shared" si="1"/>
        <v>Yes</v>
      </c>
      <c r="K15" t="s">
        <v>14</v>
      </c>
    </row>
    <row r="16" spans="1:17" x14ac:dyDescent="0.3">
      <c r="A16" s="7">
        <v>46034</v>
      </c>
      <c r="B16">
        <v>1015</v>
      </c>
      <c r="C16" t="s">
        <v>30</v>
      </c>
      <c r="D16" t="s">
        <v>11</v>
      </c>
      <c r="E16" s="1">
        <v>655365</v>
      </c>
      <c r="F16" t="str">
        <f t="shared" si="0"/>
        <v>Food</v>
      </c>
      <c r="G16" s="1">
        <v>40617</v>
      </c>
      <c r="H16">
        <v>0</v>
      </c>
      <c r="I16" t="s">
        <v>12</v>
      </c>
      <c r="J16" t="str">
        <f t="shared" si="1"/>
        <v>Yes</v>
      </c>
      <c r="K16" t="s">
        <v>14</v>
      </c>
    </row>
    <row r="17" spans="1:11" x14ac:dyDescent="0.3">
      <c r="A17" s="7">
        <v>46034</v>
      </c>
      <c r="B17">
        <v>1016</v>
      </c>
      <c r="C17" t="s">
        <v>10</v>
      </c>
      <c r="D17" t="s">
        <v>11</v>
      </c>
      <c r="E17" s="1">
        <v>933138</v>
      </c>
      <c r="F17" t="str">
        <f t="shared" si="0"/>
        <v>Hotel</v>
      </c>
      <c r="G17" s="1">
        <v>161506</v>
      </c>
      <c r="H17">
        <v>7</v>
      </c>
      <c r="I17" t="s">
        <v>17</v>
      </c>
      <c r="J17" t="str">
        <f t="shared" si="1"/>
        <v>Yes</v>
      </c>
      <c r="K17" t="s">
        <v>14</v>
      </c>
    </row>
    <row r="18" spans="1:11" x14ac:dyDescent="0.3">
      <c r="A18" s="7">
        <v>46035</v>
      </c>
      <c r="B18">
        <v>1017</v>
      </c>
      <c r="C18" t="s">
        <v>26</v>
      </c>
      <c r="D18" t="s">
        <v>11</v>
      </c>
      <c r="E18" s="1">
        <v>623804</v>
      </c>
      <c r="F18" t="str">
        <f t="shared" si="0"/>
        <v>Hotel</v>
      </c>
      <c r="G18" s="1">
        <v>31860</v>
      </c>
      <c r="H18">
        <v>6</v>
      </c>
      <c r="I18" t="s">
        <v>17</v>
      </c>
      <c r="J18" t="str">
        <f t="shared" si="1"/>
        <v>Yes</v>
      </c>
      <c r="K18" t="s">
        <v>28</v>
      </c>
    </row>
    <row r="19" spans="1:11" x14ac:dyDescent="0.3">
      <c r="A19" s="7">
        <v>46035</v>
      </c>
      <c r="B19">
        <v>1018</v>
      </c>
      <c r="C19" t="s">
        <v>31</v>
      </c>
      <c r="D19" t="s">
        <v>16</v>
      </c>
      <c r="E19" s="1">
        <v>762032</v>
      </c>
      <c r="F19" t="str">
        <f t="shared" si="0"/>
        <v>Food</v>
      </c>
      <c r="G19" s="1">
        <v>22286</v>
      </c>
      <c r="H19">
        <v>0</v>
      </c>
      <c r="I19" t="s">
        <v>12</v>
      </c>
      <c r="J19" t="str">
        <f t="shared" si="1"/>
        <v>Yes</v>
      </c>
      <c r="K19" t="s">
        <v>28</v>
      </c>
    </row>
    <row r="20" spans="1:11" x14ac:dyDescent="0.3">
      <c r="A20" s="7">
        <v>46035</v>
      </c>
      <c r="B20">
        <v>1019</v>
      </c>
      <c r="C20" t="s">
        <v>20</v>
      </c>
      <c r="D20" t="s">
        <v>16</v>
      </c>
      <c r="E20" s="1">
        <v>622779</v>
      </c>
      <c r="F20" t="str">
        <f t="shared" si="0"/>
        <v>Transport</v>
      </c>
      <c r="G20" s="1">
        <v>19795</v>
      </c>
      <c r="H20">
        <v>3</v>
      </c>
      <c r="I20" t="s">
        <v>17</v>
      </c>
      <c r="J20" t="str">
        <f t="shared" si="1"/>
        <v>Yes</v>
      </c>
      <c r="K20" t="s">
        <v>19</v>
      </c>
    </row>
    <row r="21" spans="1:11" x14ac:dyDescent="0.3">
      <c r="A21" s="7">
        <v>46035</v>
      </c>
      <c r="B21">
        <v>1020</v>
      </c>
      <c r="C21" t="s">
        <v>20</v>
      </c>
      <c r="D21" t="s">
        <v>16</v>
      </c>
      <c r="E21" s="1">
        <v>815310</v>
      </c>
      <c r="F21" t="str">
        <f t="shared" si="0"/>
        <v>Hotel</v>
      </c>
      <c r="G21" s="1">
        <v>210260</v>
      </c>
      <c r="H21">
        <v>5</v>
      </c>
      <c r="I21" t="s">
        <v>21</v>
      </c>
      <c r="J21" t="str">
        <f t="shared" si="1"/>
        <v>Yes</v>
      </c>
      <c r="K21" t="s">
        <v>14</v>
      </c>
    </row>
    <row r="22" spans="1:11" x14ac:dyDescent="0.3">
      <c r="A22" s="7">
        <v>46035</v>
      </c>
      <c r="B22">
        <v>1021</v>
      </c>
      <c r="C22" t="s">
        <v>20</v>
      </c>
      <c r="D22" t="s">
        <v>11</v>
      </c>
      <c r="E22" s="1">
        <v>934140</v>
      </c>
      <c r="F22" t="str">
        <f t="shared" si="0"/>
        <v>Food</v>
      </c>
      <c r="G22" s="1">
        <v>49284</v>
      </c>
      <c r="H22">
        <v>1</v>
      </c>
      <c r="I22" t="s">
        <v>21</v>
      </c>
      <c r="J22" t="str">
        <f t="shared" si="1"/>
        <v>No</v>
      </c>
      <c r="K22" t="s">
        <v>19</v>
      </c>
    </row>
    <row r="23" spans="1:11" x14ac:dyDescent="0.3">
      <c r="A23" s="7">
        <v>46035</v>
      </c>
      <c r="B23">
        <v>1022</v>
      </c>
      <c r="C23" t="s">
        <v>25</v>
      </c>
      <c r="D23" t="s">
        <v>11</v>
      </c>
      <c r="E23" s="1">
        <v>929508</v>
      </c>
      <c r="F23" t="str">
        <f t="shared" si="0"/>
        <v>Hotel</v>
      </c>
      <c r="G23" s="1">
        <v>47189</v>
      </c>
      <c r="H23">
        <v>8</v>
      </c>
      <c r="I23" t="s">
        <v>17</v>
      </c>
      <c r="J23" t="str">
        <f t="shared" si="1"/>
        <v>Yes</v>
      </c>
      <c r="K23" t="s">
        <v>19</v>
      </c>
    </row>
    <row r="24" spans="1:11" x14ac:dyDescent="0.3">
      <c r="A24" s="7">
        <v>46035</v>
      </c>
      <c r="B24">
        <v>1023</v>
      </c>
      <c r="C24" t="s">
        <v>27</v>
      </c>
      <c r="D24" t="s">
        <v>11</v>
      </c>
      <c r="E24" s="1">
        <v>611155</v>
      </c>
      <c r="F24" t="str">
        <f t="shared" si="0"/>
        <v>Food</v>
      </c>
      <c r="G24" s="1">
        <v>25808</v>
      </c>
      <c r="H24">
        <v>0</v>
      </c>
      <c r="I24" t="s">
        <v>12</v>
      </c>
      <c r="J24" t="str">
        <f t="shared" si="1"/>
        <v>Yes</v>
      </c>
      <c r="K24" t="s">
        <v>19</v>
      </c>
    </row>
    <row r="25" spans="1:11" x14ac:dyDescent="0.3">
      <c r="A25" s="7">
        <v>46035</v>
      </c>
      <c r="B25">
        <v>1024</v>
      </c>
      <c r="C25" t="s">
        <v>27</v>
      </c>
      <c r="D25" t="s">
        <v>11</v>
      </c>
      <c r="E25" s="1">
        <v>676156</v>
      </c>
      <c r="F25" t="str">
        <f t="shared" si="0"/>
        <v>Food</v>
      </c>
      <c r="G25" s="1">
        <v>36813</v>
      </c>
      <c r="H25">
        <v>0</v>
      </c>
      <c r="I25" t="s">
        <v>12</v>
      </c>
      <c r="J25" t="str">
        <f t="shared" si="1"/>
        <v>Yes</v>
      </c>
      <c r="K25" t="s">
        <v>19</v>
      </c>
    </row>
    <row r="26" spans="1:11" x14ac:dyDescent="0.3">
      <c r="A26" s="7">
        <v>46035</v>
      </c>
      <c r="B26">
        <v>1025</v>
      </c>
      <c r="C26" t="s">
        <v>32</v>
      </c>
      <c r="D26" t="s">
        <v>11</v>
      </c>
      <c r="E26" s="1">
        <v>894144</v>
      </c>
      <c r="F26" t="str">
        <f t="shared" si="0"/>
        <v>Transport</v>
      </c>
      <c r="G26" s="1">
        <v>164903</v>
      </c>
      <c r="H26">
        <v>3</v>
      </c>
      <c r="I26" t="s">
        <v>17</v>
      </c>
      <c r="J26" t="str">
        <f t="shared" si="1"/>
        <v>Yes</v>
      </c>
      <c r="K26" t="s">
        <v>28</v>
      </c>
    </row>
    <row r="27" spans="1:11" x14ac:dyDescent="0.3">
      <c r="A27" s="7">
        <v>46035</v>
      </c>
      <c r="B27">
        <v>1026</v>
      </c>
      <c r="C27" t="s">
        <v>33</v>
      </c>
      <c r="D27" t="s">
        <v>16</v>
      </c>
      <c r="E27" s="1">
        <v>552789</v>
      </c>
      <c r="F27" t="str">
        <f t="shared" si="0"/>
        <v>Food</v>
      </c>
      <c r="G27" s="1">
        <v>224536</v>
      </c>
      <c r="H27">
        <v>1</v>
      </c>
      <c r="I27" t="s">
        <v>17</v>
      </c>
      <c r="J27" t="str">
        <f t="shared" si="1"/>
        <v>No</v>
      </c>
      <c r="K27" t="s">
        <v>19</v>
      </c>
    </row>
    <row r="28" spans="1:11" x14ac:dyDescent="0.3">
      <c r="A28" s="7">
        <v>46035</v>
      </c>
      <c r="B28">
        <v>1027</v>
      </c>
      <c r="C28" t="s">
        <v>15</v>
      </c>
      <c r="D28" t="s">
        <v>11</v>
      </c>
      <c r="E28" s="1">
        <v>575354</v>
      </c>
      <c r="F28" t="str">
        <f t="shared" si="0"/>
        <v>Food</v>
      </c>
      <c r="G28" s="1">
        <v>32279</v>
      </c>
      <c r="H28">
        <v>0</v>
      </c>
      <c r="I28" t="s">
        <v>12</v>
      </c>
      <c r="J28" t="str">
        <f t="shared" si="1"/>
        <v>Yes</v>
      </c>
      <c r="K28" t="s">
        <v>28</v>
      </c>
    </row>
    <row r="29" spans="1:11" x14ac:dyDescent="0.3">
      <c r="A29" s="7">
        <v>46035</v>
      </c>
      <c r="B29">
        <v>1028</v>
      </c>
      <c r="C29" t="s">
        <v>15</v>
      </c>
      <c r="D29" t="s">
        <v>11</v>
      </c>
      <c r="E29" s="1">
        <v>902351</v>
      </c>
      <c r="F29" t="str">
        <f t="shared" si="0"/>
        <v>Food</v>
      </c>
      <c r="G29" s="1">
        <v>195913</v>
      </c>
      <c r="H29">
        <v>1</v>
      </c>
      <c r="I29" t="s">
        <v>21</v>
      </c>
      <c r="J29" t="str">
        <f t="shared" si="1"/>
        <v>No</v>
      </c>
      <c r="K29" t="s">
        <v>28</v>
      </c>
    </row>
    <row r="30" spans="1:11" x14ac:dyDescent="0.3">
      <c r="A30" s="7">
        <v>46035</v>
      </c>
      <c r="B30">
        <v>1029</v>
      </c>
      <c r="C30" t="s">
        <v>26</v>
      </c>
      <c r="D30" t="s">
        <v>16</v>
      </c>
      <c r="E30" s="1">
        <v>561079</v>
      </c>
      <c r="F30" t="str">
        <f t="shared" si="0"/>
        <v>Food</v>
      </c>
      <c r="G30" s="1">
        <v>112589</v>
      </c>
      <c r="H30">
        <v>1</v>
      </c>
      <c r="I30" t="s">
        <v>17</v>
      </c>
      <c r="J30" t="str">
        <f t="shared" si="1"/>
        <v>No</v>
      </c>
      <c r="K30" t="s">
        <v>28</v>
      </c>
    </row>
    <row r="31" spans="1:11" x14ac:dyDescent="0.3">
      <c r="A31" s="7">
        <v>46035</v>
      </c>
      <c r="B31">
        <v>1030</v>
      </c>
      <c r="C31" t="s">
        <v>10</v>
      </c>
      <c r="D31" t="s">
        <v>16</v>
      </c>
      <c r="E31" s="1">
        <v>825873</v>
      </c>
      <c r="F31" t="str">
        <f t="shared" si="0"/>
        <v>Food</v>
      </c>
      <c r="G31" s="1">
        <v>27944</v>
      </c>
      <c r="H31">
        <v>0</v>
      </c>
      <c r="I31" t="s">
        <v>12</v>
      </c>
      <c r="J31" t="str">
        <f t="shared" si="1"/>
        <v>Yes</v>
      </c>
      <c r="K31" t="s">
        <v>19</v>
      </c>
    </row>
    <row r="32" spans="1:11" x14ac:dyDescent="0.3">
      <c r="A32" s="7">
        <v>46035</v>
      </c>
      <c r="B32">
        <v>1031</v>
      </c>
      <c r="C32" t="s">
        <v>18</v>
      </c>
      <c r="D32" t="s">
        <v>16</v>
      </c>
      <c r="E32" s="1">
        <v>694227</v>
      </c>
      <c r="F32" t="str">
        <f t="shared" si="0"/>
        <v>Food</v>
      </c>
      <c r="G32" s="1">
        <v>159759</v>
      </c>
      <c r="H32">
        <v>1</v>
      </c>
      <c r="I32" t="s">
        <v>17</v>
      </c>
      <c r="J32" t="str">
        <f t="shared" si="1"/>
        <v>No</v>
      </c>
      <c r="K32" t="s">
        <v>19</v>
      </c>
    </row>
    <row r="33" spans="1:11" x14ac:dyDescent="0.3">
      <c r="A33" s="7">
        <v>46035</v>
      </c>
      <c r="B33">
        <v>1032</v>
      </c>
      <c r="C33" t="s">
        <v>34</v>
      </c>
      <c r="D33" t="s">
        <v>16</v>
      </c>
      <c r="E33" s="1">
        <v>820092</v>
      </c>
      <c r="F33" t="str">
        <f t="shared" si="0"/>
        <v>Hotel</v>
      </c>
      <c r="G33" s="1">
        <v>163145</v>
      </c>
      <c r="H33">
        <v>5</v>
      </c>
      <c r="I33" t="s">
        <v>21</v>
      </c>
      <c r="J33" t="str">
        <f t="shared" si="1"/>
        <v>Yes</v>
      </c>
      <c r="K33" t="s">
        <v>19</v>
      </c>
    </row>
    <row r="34" spans="1:11" x14ac:dyDescent="0.3">
      <c r="A34" s="7">
        <v>46035</v>
      </c>
      <c r="B34">
        <v>1033</v>
      </c>
      <c r="C34" t="s">
        <v>29</v>
      </c>
      <c r="D34" t="s">
        <v>16</v>
      </c>
      <c r="E34" s="1">
        <v>781521</v>
      </c>
      <c r="F34" t="str">
        <f t="shared" si="0"/>
        <v>Food</v>
      </c>
      <c r="G34" s="1">
        <v>26036</v>
      </c>
      <c r="H34">
        <v>0</v>
      </c>
      <c r="I34" t="s">
        <v>12</v>
      </c>
      <c r="J34" t="str">
        <f t="shared" si="1"/>
        <v>Yes</v>
      </c>
      <c r="K34" t="s">
        <v>28</v>
      </c>
    </row>
    <row r="35" spans="1:11" x14ac:dyDescent="0.3">
      <c r="A35" s="7">
        <v>46035</v>
      </c>
      <c r="B35">
        <v>1034</v>
      </c>
      <c r="C35" t="s">
        <v>18</v>
      </c>
      <c r="D35" t="s">
        <v>11</v>
      </c>
      <c r="E35" s="1">
        <v>576512</v>
      </c>
      <c r="F35" t="str">
        <f t="shared" si="0"/>
        <v>Food</v>
      </c>
      <c r="G35" s="1">
        <v>34456</v>
      </c>
      <c r="H35">
        <v>0</v>
      </c>
      <c r="I35" t="s">
        <v>12</v>
      </c>
      <c r="J35" t="str">
        <f t="shared" si="1"/>
        <v>Yes</v>
      </c>
      <c r="K35" t="s">
        <v>28</v>
      </c>
    </row>
    <row r="36" spans="1:11" x14ac:dyDescent="0.3">
      <c r="A36" s="7">
        <v>46035</v>
      </c>
      <c r="B36">
        <v>1035</v>
      </c>
      <c r="C36" t="s">
        <v>34</v>
      </c>
      <c r="D36" t="s">
        <v>11</v>
      </c>
      <c r="E36" s="1">
        <v>908854</v>
      </c>
      <c r="F36" t="str">
        <f t="shared" si="0"/>
        <v>Hotel</v>
      </c>
      <c r="G36" s="1">
        <v>43672</v>
      </c>
      <c r="H36">
        <v>7</v>
      </c>
      <c r="I36" t="s">
        <v>17</v>
      </c>
      <c r="J36" t="str">
        <f t="shared" si="1"/>
        <v>Yes</v>
      </c>
      <c r="K36" t="s">
        <v>28</v>
      </c>
    </row>
    <row r="37" spans="1:11" x14ac:dyDescent="0.3">
      <c r="A37" s="7">
        <v>46035</v>
      </c>
      <c r="B37">
        <v>1036</v>
      </c>
      <c r="C37" t="s">
        <v>32</v>
      </c>
      <c r="D37" t="s">
        <v>16</v>
      </c>
      <c r="E37" s="1">
        <v>605258</v>
      </c>
      <c r="F37" t="str">
        <f t="shared" si="0"/>
        <v>Transport</v>
      </c>
      <c r="G37" s="1">
        <v>208018</v>
      </c>
      <c r="H37">
        <v>3</v>
      </c>
      <c r="I37" t="s">
        <v>17</v>
      </c>
      <c r="J37" t="str">
        <f t="shared" si="1"/>
        <v>Yes</v>
      </c>
      <c r="K37" t="s">
        <v>28</v>
      </c>
    </row>
    <row r="38" spans="1:11" x14ac:dyDescent="0.3">
      <c r="A38" s="7">
        <v>46035</v>
      </c>
      <c r="B38">
        <v>1037</v>
      </c>
      <c r="C38" t="s">
        <v>35</v>
      </c>
      <c r="D38" t="s">
        <v>16</v>
      </c>
      <c r="E38" s="1">
        <v>721961</v>
      </c>
      <c r="F38" t="str">
        <f t="shared" si="0"/>
        <v>Hotel</v>
      </c>
      <c r="G38" s="1">
        <v>138941</v>
      </c>
      <c r="H38">
        <v>7</v>
      </c>
      <c r="I38" t="s">
        <v>17</v>
      </c>
      <c r="J38" t="str">
        <f t="shared" si="1"/>
        <v>Yes</v>
      </c>
      <c r="K38" t="s">
        <v>28</v>
      </c>
    </row>
    <row r="39" spans="1:11" x14ac:dyDescent="0.3">
      <c r="A39" s="7">
        <v>46035</v>
      </c>
      <c r="B39">
        <v>1038</v>
      </c>
      <c r="C39" t="s">
        <v>36</v>
      </c>
      <c r="D39" t="s">
        <v>16</v>
      </c>
      <c r="E39" s="1">
        <v>748523</v>
      </c>
      <c r="F39" t="str">
        <f t="shared" si="0"/>
        <v>Food</v>
      </c>
      <c r="G39" s="1">
        <v>217353</v>
      </c>
      <c r="H39">
        <v>1</v>
      </c>
      <c r="I39" t="s">
        <v>17</v>
      </c>
      <c r="J39" t="str">
        <f t="shared" si="1"/>
        <v>No</v>
      </c>
      <c r="K39" t="s">
        <v>19</v>
      </c>
    </row>
    <row r="40" spans="1:11" x14ac:dyDescent="0.3">
      <c r="A40" s="7">
        <v>46036</v>
      </c>
      <c r="B40">
        <v>1039</v>
      </c>
      <c r="C40" t="s">
        <v>29</v>
      </c>
      <c r="D40" t="s">
        <v>11</v>
      </c>
      <c r="E40" s="1">
        <v>798957</v>
      </c>
      <c r="F40" t="str">
        <f t="shared" si="0"/>
        <v>Food</v>
      </c>
      <c r="G40" s="1">
        <v>46042</v>
      </c>
      <c r="H40">
        <v>0</v>
      </c>
      <c r="I40" t="s">
        <v>12</v>
      </c>
      <c r="J40" t="str">
        <f t="shared" si="1"/>
        <v>Yes</v>
      </c>
      <c r="K40" t="s">
        <v>19</v>
      </c>
    </row>
    <row r="41" spans="1:11" x14ac:dyDescent="0.3">
      <c r="A41" s="7">
        <v>46036</v>
      </c>
      <c r="B41">
        <v>1040</v>
      </c>
      <c r="C41" t="s">
        <v>37</v>
      </c>
      <c r="D41" t="s">
        <v>11</v>
      </c>
      <c r="E41" s="1">
        <v>849545</v>
      </c>
      <c r="F41" t="str">
        <f t="shared" si="0"/>
        <v>Food</v>
      </c>
      <c r="G41" s="1">
        <v>49488</v>
      </c>
      <c r="H41">
        <v>0</v>
      </c>
      <c r="I41" t="s">
        <v>12</v>
      </c>
      <c r="J41" t="str">
        <f t="shared" si="1"/>
        <v>Yes</v>
      </c>
      <c r="K41" t="s">
        <v>19</v>
      </c>
    </row>
    <row r="42" spans="1:11" x14ac:dyDescent="0.3">
      <c r="A42" s="7">
        <v>46036</v>
      </c>
      <c r="B42">
        <v>1041</v>
      </c>
      <c r="C42" t="s">
        <v>37</v>
      </c>
      <c r="D42" t="s">
        <v>11</v>
      </c>
      <c r="E42" s="1">
        <v>509550</v>
      </c>
      <c r="F42" t="str">
        <f t="shared" si="0"/>
        <v>Hotel</v>
      </c>
      <c r="G42" s="1">
        <v>16527</v>
      </c>
      <c r="H42">
        <v>5</v>
      </c>
      <c r="I42" t="s">
        <v>17</v>
      </c>
      <c r="J42" t="str">
        <f t="shared" si="1"/>
        <v>Yes</v>
      </c>
      <c r="K42" t="s">
        <v>14</v>
      </c>
    </row>
    <row r="43" spans="1:11" x14ac:dyDescent="0.3">
      <c r="A43" s="7">
        <v>46036</v>
      </c>
      <c r="B43">
        <v>1042</v>
      </c>
      <c r="C43" t="s">
        <v>24</v>
      </c>
      <c r="D43" t="s">
        <v>11</v>
      </c>
      <c r="E43" s="1">
        <v>792300</v>
      </c>
      <c r="F43" t="str">
        <f t="shared" si="0"/>
        <v>Food</v>
      </c>
      <c r="G43" s="1">
        <v>65163</v>
      </c>
      <c r="H43">
        <v>2</v>
      </c>
      <c r="I43" t="s">
        <v>21</v>
      </c>
      <c r="J43" t="str">
        <f t="shared" si="1"/>
        <v>No</v>
      </c>
      <c r="K43" t="s">
        <v>28</v>
      </c>
    </row>
    <row r="44" spans="1:11" x14ac:dyDescent="0.3">
      <c r="A44" s="7">
        <v>46036</v>
      </c>
      <c r="B44">
        <v>1043</v>
      </c>
      <c r="C44" t="s">
        <v>29</v>
      </c>
      <c r="D44" t="s">
        <v>16</v>
      </c>
      <c r="E44" s="1">
        <v>691309</v>
      </c>
      <c r="F44" t="str">
        <f t="shared" si="0"/>
        <v>Food</v>
      </c>
      <c r="G44" s="1">
        <v>26154</v>
      </c>
      <c r="H44">
        <v>0</v>
      </c>
      <c r="I44" t="s">
        <v>12</v>
      </c>
      <c r="J44" t="str">
        <f t="shared" si="1"/>
        <v>Yes</v>
      </c>
      <c r="K44" t="s">
        <v>14</v>
      </c>
    </row>
    <row r="45" spans="1:11" x14ac:dyDescent="0.3">
      <c r="A45" s="7">
        <v>46036</v>
      </c>
      <c r="B45">
        <v>1044</v>
      </c>
      <c r="C45" t="s">
        <v>38</v>
      </c>
      <c r="D45" t="s">
        <v>11</v>
      </c>
      <c r="E45" s="1">
        <v>758053</v>
      </c>
      <c r="F45" t="str">
        <f t="shared" si="0"/>
        <v>Hotel</v>
      </c>
      <c r="G45" s="1">
        <v>41074</v>
      </c>
      <c r="H45">
        <v>7</v>
      </c>
      <c r="I45" t="s">
        <v>21</v>
      </c>
      <c r="J45" t="str">
        <f t="shared" si="1"/>
        <v>Yes</v>
      </c>
      <c r="K45" t="s">
        <v>14</v>
      </c>
    </row>
    <row r="46" spans="1:11" x14ac:dyDescent="0.3">
      <c r="A46" s="7">
        <v>46036</v>
      </c>
      <c r="B46">
        <v>1045</v>
      </c>
      <c r="C46" t="s">
        <v>37</v>
      </c>
      <c r="D46" t="s">
        <v>11</v>
      </c>
      <c r="E46" s="1">
        <v>714398</v>
      </c>
      <c r="F46" t="str">
        <f t="shared" si="0"/>
        <v>Hotel</v>
      </c>
      <c r="G46" s="1">
        <v>242501</v>
      </c>
      <c r="H46">
        <v>7</v>
      </c>
      <c r="I46" t="s">
        <v>17</v>
      </c>
      <c r="J46" t="str">
        <f t="shared" si="1"/>
        <v>Yes</v>
      </c>
      <c r="K46" t="s">
        <v>19</v>
      </c>
    </row>
    <row r="47" spans="1:11" x14ac:dyDescent="0.3">
      <c r="A47" s="7">
        <v>46036</v>
      </c>
      <c r="B47">
        <v>1046</v>
      </c>
      <c r="C47" t="s">
        <v>38</v>
      </c>
      <c r="D47" t="s">
        <v>16</v>
      </c>
      <c r="E47" s="1">
        <v>681005</v>
      </c>
      <c r="F47" t="str">
        <f t="shared" si="0"/>
        <v>Food</v>
      </c>
      <c r="G47" s="1">
        <v>48744</v>
      </c>
      <c r="H47">
        <v>0</v>
      </c>
      <c r="I47" t="s">
        <v>12</v>
      </c>
      <c r="J47" t="str">
        <f t="shared" si="1"/>
        <v>Yes</v>
      </c>
      <c r="K47" t="s">
        <v>28</v>
      </c>
    </row>
    <row r="48" spans="1:11" x14ac:dyDescent="0.3">
      <c r="A48" s="7">
        <v>46036</v>
      </c>
      <c r="B48">
        <v>1047</v>
      </c>
      <c r="C48" t="s">
        <v>39</v>
      </c>
      <c r="D48" t="s">
        <v>16</v>
      </c>
      <c r="E48" s="1">
        <v>597061</v>
      </c>
      <c r="F48" t="str">
        <f t="shared" si="0"/>
        <v>Food</v>
      </c>
      <c r="G48" s="1">
        <v>25958</v>
      </c>
      <c r="H48">
        <v>0</v>
      </c>
      <c r="I48" t="s">
        <v>12</v>
      </c>
      <c r="J48" t="str">
        <f t="shared" si="1"/>
        <v>Yes</v>
      </c>
      <c r="K48" t="s">
        <v>14</v>
      </c>
    </row>
    <row r="49" spans="1:11" x14ac:dyDescent="0.3">
      <c r="A49" s="7">
        <v>46036</v>
      </c>
      <c r="B49">
        <v>1048</v>
      </c>
      <c r="C49" t="s">
        <v>10</v>
      </c>
      <c r="D49" t="s">
        <v>16</v>
      </c>
      <c r="E49" s="1">
        <v>943938</v>
      </c>
      <c r="F49" t="str">
        <f t="shared" si="0"/>
        <v>Food</v>
      </c>
      <c r="G49" s="1">
        <v>26156</v>
      </c>
      <c r="H49">
        <v>0</v>
      </c>
      <c r="I49" t="s">
        <v>12</v>
      </c>
      <c r="J49" t="str">
        <f t="shared" si="1"/>
        <v>Yes</v>
      </c>
      <c r="K49" t="s">
        <v>19</v>
      </c>
    </row>
    <row r="50" spans="1:11" x14ac:dyDescent="0.3">
      <c r="A50" s="7">
        <v>46036</v>
      </c>
      <c r="B50">
        <v>1049</v>
      </c>
      <c r="C50" t="s">
        <v>20</v>
      </c>
      <c r="D50" t="s">
        <v>11</v>
      </c>
      <c r="E50" s="1">
        <v>829805</v>
      </c>
      <c r="F50" t="str">
        <f t="shared" si="0"/>
        <v>Hotel</v>
      </c>
      <c r="G50" s="1">
        <v>125215</v>
      </c>
      <c r="H50">
        <v>7</v>
      </c>
      <c r="I50" t="s">
        <v>21</v>
      </c>
      <c r="J50" t="str">
        <f t="shared" si="1"/>
        <v>Yes</v>
      </c>
      <c r="K50" t="s">
        <v>28</v>
      </c>
    </row>
    <row r="51" spans="1:11" x14ac:dyDescent="0.3">
      <c r="A51" s="7">
        <v>46036</v>
      </c>
      <c r="B51">
        <v>1050</v>
      </c>
      <c r="C51" t="s">
        <v>38</v>
      </c>
      <c r="D51" t="s">
        <v>16</v>
      </c>
      <c r="E51" s="1">
        <v>709179</v>
      </c>
      <c r="F51" t="str">
        <f t="shared" si="0"/>
        <v>Hotel</v>
      </c>
      <c r="G51" s="1">
        <v>133027</v>
      </c>
      <c r="H51">
        <v>7</v>
      </c>
      <c r="I51" t="s">
        <v>21</v>
      </c>
      <c r="J51" t="str">
        <f t="shared" si="1"/>
        <v>Yes</v>
      </c>
      <c r="K51" t="s">
        <v>14</v>
      </c>
    </row>
    <row r="52" spans="1:11" x14ac:dyDescent="0.3">
      <c r="A52" s="7">
        <v>46036</v>
      </c>
      <c r="B52">
        <v>1051</v>
      </c>
      <c r="C52" t="s">
        <v>31</v>
      </c>
      <c r="D52" t="s">
        <v>11</v>
      </c>
      <c r="E52" s="1">
        <v>521683</v>
      </c>
      <c r="F52" t="str">
        <f t="shared" si="0"/>
        <v>Food</v>
      </c>
      <c r="G52" s="1">
        <v>139860</v>
      </c>
      <c r="H52">
        <v>2</v>
      </c>
      <c r="I52" t="s">
        <v>17</v>
      </c>
      <c r="J52" t="str">
        <f t="shared" si="1"/>
        <v>No</v>
      </c>
      <c r="K52" t="s">
        <v>14</v>
      </c>
    </row>
    <row r="53" spans="1:11" x14ac:dyDescent="0.3">
      <c r="A53" s="7">
        <v>46036</v>
      </c>
      <c r="B53">
        <v>1052</v>
      </c>
      <c r="C53" t="s">
        <v>37</v>
      </c>
      <c r="D53" t="s">
        <v>16</v>
      </c>
      <c r="E53" s="1">
        <v>646684</v>
      </c>
      <c r="F53" t="str">
        <f t="shared" si="0"/>
        <v>Food</v>
      </c>
      <c r="G53" s="1">
        <v>16356</v>
      </c>
      <c r="H53">
        <v>0</v>
      </c>
      <c r="I53" t="s">
        <v>12</v>
      </c>
      <c r="J53" t="str">
        <f t="shared" si="1"/>
        <v>Yes</v>
      </c>
      <c r="K53" t="s">
        <v>19</v>
      </c>
    </row>
    <row r="54" spans="1:11" x14ac:dyDescent="0.3">
      <c r="A54" s="7">
        <v>46036</v>
      </c>
      <c r="B54">
        <v>1053</v>
      </c>
      <c r="C54" t="s">
        <v>39</v>
      </c>
      <c r="D54" t="s">
        <v>11</v>
      </c>
      <c r="E54" s="1">
        <v>796829</v>
      </c>
      <c r="F54" t="str">
        <f t="shared" si="0"/>
        <v>Transport</v>
      </c>
      <c r="G54" s="1">
        <v>48196</v>
      </c>
      <c r="H54">
        <v>3</v>
      </c>
      <c r="I54" t="s">
        <v>21</v>
      </c>
      <c r="J54" t="str">
        <f t="shared" si="1"/>
        <v>Yes</v>
      </c>
      <c r="K54" t="s">
        <v>19</v>
      </c>
    </row>
    <row r="55" spans="1:11" x14ac:dyDescent="0.3">
      <c r="A55" s="7">
        <v>46036</v>
      </c>
      <c r="B55">
        <v>1054</v>
      </c>
      <c r="C55" t="s">
        <v>10</v>
      </c>
      <c r="D55" t="s">
        <v>16</v>
      </c>
      <c r="E55" s="1">
        <v>533088</v>
      </c>
      <c r="F55" t="str">
        <f t="shared" si="0"/>
        <v>Food</v>
      </c>
      <c r="G55" s="1">
        <v>20865</v>
      </c>
      <c r="H55">
        <v>0</v>
      </c>
      <c r="I55" t="s">
        <v>12</v>
      </c>
      <c r="J55" t="str">
        <f t="shared" si="1"/>
        <v>Yes</v>
      </c>
      <c r="K55" t="s">
        <v>19</v>
      </c>
    </row>
    <row r="56" spans="1:11" x14ac:dyDescent="0.3">
      <c r="A56" s="7">
        <v>46036</v>
      </c>
      <c r="B56">
        <v>1055</v>
      </c>
      <c r="C56" t="s">
        <v>18</v>
      </c>
      <c r="D56" t="s">
        <v>16</v>
      </c>
      <c r="E56" s="1">
        <v>918725</v>
      </c>
      <c r="F56" t="str">
        <f t="shared" si="0"/>
        <v>Food</v>
      </c>
      <c r="G56" s="1">
        <v>16835</v>
      </c>
      <c r="H56">
        <v>0</v>
      </c>
      <c r="I56" t="s">
        <v>12</v>
      </c>
      <c r="J56" t="str">
        <f t="shared" si="1"/>
        <v>Yes</v>
      </c>
      <c r="K56" t="s">
        <v>19</v>
      </c>
    </row>
    <row r="57" spans="1:11" x14ac:dyDescent="0.3">
      <c r="A57" s="7">
        <v>46036</v>
      </c>
      <c r="B57">
        <v>1056</v>
      </c>
      <c r="C57" t="s">
        <v>36</v>
      </c>
      <c r="D57" t="s">
        <v>11</v>
      </c>
      <c r="E57" s="1">
        <v>867194</v>
      </c>
      <c r="F57" t="str">
        <f t="shared" si="0"/>
        <v>Hotel</v>
      </c>
      <c r="G57" s="1">
        <v>15644</v>
      </c>
      <c r="H57">
        <v>6</v>
      </c>
      <c r="I57" t="s">
        <v>17</v>
      </c>
      <c r="J57" t="str">
        <f t="shared" si="1"/>
        <v>Yes</v>
      </c>
      <c r="K57" t="s">
        <v>14</v>
      </c>
    </row>
    <row r="58" spans="1:11" x14ac:dyDescent="0.3">
      <c r="A58" s="7">
        <v>46037</v>
      </c>
      <c r="B58">
        <v>1057</v>
      </c>
      <c r="C58" t="s">
        <v>35</v>
      </c>
      <c r="D58" t="s">
        <v>16</v>
      </c>
      <c r="E58" s="1">
        <v>896581</v>
      </c>
      <c r="F58" t="str">
        <f t="shared" si="0"/>
        <v>Hotel</v>
      </c>
      <c r="G58" s="1">
        <v>153861</v>
      </c>
      <c r="H58">
        <v>7</v>
      </c>
      <c r="I58" t="s">
        <v>21</v>
      </c>
      <c r="J58" t="str">
        <f t="shared" si="1"/>
        <v>Yes</v>
      </c>
      <c r="K58" t="s">
        <v>14</v>
      </c>
    </row>
    <row r="59" spans="1:11" x14ac:dyDescent="0.3">
      <c r="A59" s="7">
        <v>46037</v>
      </c>
      <c r="B59">
        <v>1058</v>
      </c>
      <c r="C59" t="s">
        <v>31</v>
      </c>
      <c r="D59" t="s">
        <v>16</v>
      </c>
      <c r="E59" s="1">
        <v>826438</v>
      </c>
      <c r="F59" t="str">
        <f t="shared" si="0"/>
        <v>Transport</v>
      </c>
      <c r="G59" s="1">
        <v>31951</v>
      </c>
      <c r="H59">
        <v>3</v>
      </c>
      <c r="I59" t="s">
        <v>21</v>
      </c>
      <c r="J59" t="str">
        <f t="shared" si="1"/>
        <v>Yes</v>
      </c>
      <c r="K59" t="s">
        <v>28</v>
      </c>
    </row>
    <row r="60" spans="1:11" x14ac:dyDescent="0.3">
      <c r="A60" s="7">
        <v>46037</v>
      </c>
      <c r="B60">
        <v>1059</v>
      </c>
      <c r="C60" t="s">
        <v>35</v>
      </c>
      <c r="D60" t="s">
        <v>11</v>
      </c>
      <c r="E60" s="1">
        <v>882244</v>
      </c>
      <c r="F60" t="str">
        <f t="shared" si="0"/>
        <v>Food</v>
      </c>
      <c r="G60" s="1">
        <v>20734</v>
      </c>
      <c r="H60">
        <v>0</v>
      </c>
      <c r="I60" t="s">
        <v>12</v>
      </c>
      <c r="J60" t="str">
        <f t="shared" si="1"/>
        <v>Yes</v>
      </c>
      <c r="K60" t="s">
        <v>28</v>
      </c>
    </row>
    <row r="61" spans="1:11" x14ac:dyDescent="0.3">
      <c r="A61" s="7">
        <v>46037</v>
      </c>
      <c r="B61">
        <v>1060</v>
      </c>
      <c r="C61" t="s">
        <v>35</v>
      </c>
      <c r="D61" t="s">
        <v>16</v>
      </c>
      <c r="E61" s="1">
        <v>898005</v>
      </c>
      <c r="F61" t="str">
        <f t="shared" si="0"/>
        <v>Hotel</v>
      </c>
      <c r="G61" s="1">
        <v>170503</v>
      </c>
      <c r="H61">
        <v>4</v>
      </c>
      <c r="I61" t="s">
        <v>17</v>
      </c>
      <c r="J61" t="str">
        <f t="shared" si="1"/>
        <v>Yes</v>
      </c>
      <c r="K61" t="s">
        <v>19</v>
      </c>
    </row>
    <row r="62" spans="1:11" x14ac:dyDescent="0.3">
      <c r="A62" s="7">
        <v>46037</v>
      </c>
      <c r="B62">
        <v>1061</v>
      </c>
      <c r="C62" t="s">
        <v>37</v>
      </c>
      <c r="D62" t="s">
        <v>11</v>
      </c>
      <c r="E62" s="1">
        <v>601337</v>
      </c>
      <c r="F62" t="str">
        <f t="shared" si="0"/>
        <v>Food</v>
      </c>
      <c r="G62" s="1">
        <v>27354</v>
      </c>
      <c r="H62">
        <v>2</v>
      </c>
      <c r="I62" t="s">
        <v>17</v>
      </c>
      <c r="J62" t="str">
        <f t="shared" si="1"/>
        <v>No</v>
      </c>
      <c r="K62" t="s">
        <v>28</v>
      </c>
    </row>
    <row r="63" spans="1:11" x14ac:dyDescent="0.3">
      <c r="A63" s="7">
        <v>46037</v>
      </c>
      <c r="B63">
        <v>1062</v>
      </c>
      <c r="C63" t="s">
        <v>35</v>
      </c>
      <c r="D63" t="s">
        <v>16</v>
      </c>
      <c r="E63" s="1">
        <v>602208</v>
      </c>
      <c r="F63" t="str">
        <f t="shared" si="0"/>
        <v>Food</v>
      </c>
      <c r="G63" s="1">
        <v>16109</v>
      </c>
      <c r="H63">
        <v>0</v>
      </c>
      <c r="I63" t="s">
        <v>12</v>
      </c>
      <c r="J63" t="str">
        <f t="shared" si="1"/>
        <v>Yes</v>
      </c>
      <c r="K63" t="s">
        <v>19</v>
      </c>
    </row>
    <row r="64" spans="1:11" x14ac:dyDescent="0.3">
      <c r="A64" s="7">
        <v>46037</v>
      </c>
      <c r="B64">
        <v>1063</v>
      </c>
      <c r="C64" t="s">
        <v>15</v>
      </c>
      <c r="D64" t="s">
        <v>16</v>
      </c>
      <c r="E64" s="1">
        <v>835749</v>
      </c>
      <c r="F64" t="str">
        <f t="shared" si="0"/>
        <v>Hotel</v>
      </c>
      <c r="G64" s="1">
        <v>47772</v>
      </c>
      <c r="H64">
        <v>4</v>
      </c>
      <c r="I64" t="s">
        <v>17</v>
      </c>
      <c r="J64" t="str">
        <f t="shared" si="1"/>
        <v>Yes</v>
      </c>
      <c r="K64" t="s">
        <v>28</v>
      </c>
    </row>
    <row r="65" spans="1:11" x14ac:dyDescent="0.3">
      <c r="A65" s="7">
        <v>46037</v>
      </c>
      <c r="B65">
        <v>1064</v>
      </c>
      <c r="C65" t="s">
        <v>20</v>
      </c>
      <c r="D65" t="s">
        <v>16</v>
      </c>
      <c r="E65" s="1">
        <v>532156</v>
      </c>
      <c r="F65" t="str">
        <f t="shared" si="0"/>
        <v>Hotel</v>
      </c>
      <c r="G65" s="1">
        <v>28163</v>
      </c>
      <c r="H65">
        <v>7</v>
      </c>
      <c r="I65" t="s">
        <v>17</v>
      </c>
      <c r="J65" t="str">
        <f t="shared" si="1"/>
        <v>Yes</v>
      </c>
      <c r="K65" t="s">
        <v>14</v>
      </c>
    </row>
    <row r="66" spans="1:11" x14ac:dyDescent="0.3">
      <c r="A66" s="7">
        <v>46037</v>
      </c>
      <c r="B66">
        <v>1065</v>
      </c>
      <c r="C66" t="s">
        <v>26</v>
      </c>
      <c r="D66" t="s">
        <v>11</v>
      </c>
      <c r="E66" s="1">
        <v>634753</v>
      </c>
      <c r="F66" t="str">
        <f t="shared" si="0"/>
        <v>Food</v>
      </c>
      <c r="G66" s="1">
        <v>39054</v>
      </c>
      <c r="H66">
        <v>0</v>
      </c>
      <c r="I66" t="s">
        <v>12</v>
      </c>
      <c r="J66" t="str">
        <f t="shared" si="1"/>
        <v>Yes</v>
      </c>
      <c r="K66" t="s">
        <v>14</v>
      </c>
    </row>
    <row r="67" spans="1:11" x14ac:dyDescent="0.3">
      <c r="A67" s="7">
        <v>46037</v>
      </c>
      <c r="B67">
        <v>1066</v>
      </c>
      <c r="C67" t="s">
        <v>29</v>
      </c>
      <c r="D67" t="s">
        <v>16</v>
      </c>
      <c r="E67" s="1">
        <v>879777</v>
      </c>
      <c r="F67" t="str">
        <f t="shared" ref="F67:F101" si="2">IF(H67&lt;3,"Food",IF(H67=3,"Transport","Hotel"))</f>
        <v>Hotel</v>
      </c>
      <c r="G67" s="1">
        <v>231525</v>
      </c>
      <c r="H67">
        <v>4</v>
      </c>
      <c r="I67" t="s">
        <v>17</v>
      </c>
      <c r="J67" t="str">
        <f t="shared" ref="J67:J101" si="3">IF(OR(I67="Cancellation", H67&gt;=3), "Yes", "No")</f>
        <v>Yes</v>
      </c>
      <c r="K67" t="s">
        <v>14</v>
      </c>
    </row>
    <row r="68" spans="1:11" x14ac:dyDescent="0.3">
      <c r="A68" s="7">
        <v>46037</v>
      </c>
      <c r="B68">
        <v>1067</v>
      </c>
      <c r="C68" t="s">
        <v>38</v>
      </c>
      <c r="D68" t="s">
        <v>16</v>
      </c>
      <c r="E68" s="1">
        <v>788657</v>
      </c>
      <c r="F68" t="str">
        <f t="shared" si="2"/>
        <v>Hotel</v>
      </c>
      <c r="G68" s="1">
        <v>207090</v>
      </c>
      <c r="H68">
        <v>8</v>
      </c>
      <c r="I68" t="s">
        <v>17</v>
      </c>
      <c r="J68" t="str">
        <f t="shared" si="3"/>
        <v>Yes</v>
      </c>
      <c r="K68" t="s">
        <v>19</v>
      </c>
    </row>
    <row r="69" spans="1:11" x14ac:dyDescent="0.3">
      <c r="A69" s="7">
        <v>46037</v>
      </c>
      <c r="B69">
        <v>1068</v>
      </c>
      <c r="C69" t="s">
        <v>36</v>
      </c>
      <c r="D69" t="s">
        <v>16</v>
      </c>
      <c r="E69" s="1">
        <v>705788</v>
      </c>
      <c r="F69" t="str">
        <f t="shared" si="2"/>
        <v>Hotel</v>
      </c>
      <c r="G69" s="1">
        <v>81536</v>
      </c>
      <c r="H69">
        <v>5</v>
      </c>
      <c r="I69" t="s">
        <v>21</v>
      </c>
      <c r="J69" t="str">
        <f t="shared" si="3"/>
        <v>Yes</v>
      </c>
      <c r="K69" t="s">
        <v>19</v>
      </c>
    </row>
    <row r="70" spans="1:11" x14ac:dyDescent="0.3">
      <c r="A70" s="7">
        <v>46037</v>
      </c>
      <c r="B70">
        <v>1069</v>
      </c>
      <c r="C70" t="s">
        <v>30</v>
      </c>
      <c r="D70" t="s">
        <v>11</v>
      </c>
      <c r="E70" s="1">
        <v>597587</v>
      </c>
      <c r="F70" t="str">
        <f t="shared" si="2"/>
        <v>Hotel</v>
      </c>
      <c r="G70" s="1">
        <v>16317</v>
      </c>
      <c r="H70">
        <v>4</v>
      </c>
      <c r="I70" t="s">
        <v>21</v>
      </c>
      <c r="J70" t="str">
        <f t="shared" si="3"/>
        <v>Yes</v>
      </c>
      <c r="K70" t="s">
        <v>14</v>
      </c>
    </row>
    <row r="71" spans="1:11" x14ac:dyDescent="0.3">
      <c r="A71" s="7">
        <v>46037</v>
      </c>
      <c r="B71">
        <v>1070</v>
      </c>
      <c r="C71" t="s">
        <v>37</v>
      </c>
      <c r="D71" t="s">
        <v>11</v>
      </c>
      <c r="E71" s="1">
        <v>884294</v>
      </c>
      <c r="F71" t="str">
        <f t="shared" si="2"/>
        <v>Food</v>
      </c>
      <c r="G71" s="1">
        <v>34641</v>
      </c>
      <c r="H71">
        <v>0</v>
      </c>
      <c r="I71" t="s">
        <v>12</v>
      </c>
      <c r="J71" t="str">
        <f t="shared" si="3"/>
        <v>Yes</v>
      </c>
      <c r="K71" t="s">
        <v>14</v>
      </c>
    </row>
    <row r="72" spans="1:11" x14ac:dyDescent="0.3">
      <c r="A72" s="7">
        <v>46037</v>
      </c>
      <c r="B72">
        <v>1071</v>
      </c>
      <c r="C72" t="s">
        <v>33</v>
      </c>
      <c r="D72" t="s">
        <v>11</v>
      </c>
      <c r="E72" s="1">
        <v>891196</v>
      </c>
      <c r="F72" t="str">
        <f t="shared" si="2"/>
        <v>Hotel</v>
      </c>
      <c r="G72" s="1">
        <v>216644</v>
      </c>
      <c r="H72">
        <v>4</v>
      </c>
      <c r="I72" t="s">
        <v>21</v>
      </c>
      <c r="J72" t="str">
        <f t="shared" si="3"/>
        <v>Yes</v>
      </c>
      <c r="K72" t="s">
        <v>19</v>
      </c>
    </row>
    <row r="73" spans="1:11" x14ac:dyDescent="0.3">
      <c r="A73" s="7">
        <v>46037</v>
      </c>
      <c r="B73">
        <v>1072</v>
      </c>
      <c r="C73" t="s">
        <v>36</v>
      </c>
      <c r="D73" t="s">
        <v>16</v>
      </c>
      <c r="E73" s="1">
        <v>805487</v>
      </c>
      <c r="F73" t="str">
        <f t="shared" si="2"/>
        <v>Food</v>
      </c>
      <c r="G73" s="1">
        <v>15172</v>
      </c>
      <c r="H73">
        <v>0</v>
      </c>
      <c r="I73" t="s">
        <v>12</v>
      </c>
      <c r="J73" t="str">
        <f t="shared" si="3"/>
        <v>Yes</v>
      </c>
      <c r="K73" t="s">
        <v>19</v>
      </c>
    </row>
    <row r="74" spans="1:11" x14ac:dyDescent="0.3">
      <c r="A74" s="7">
        <v>46037</v>
      </c>
      <c r="B74">
        <v>1073</v>
      </c>
      <c r="C74" t="s">
        <v>35</v>
      </c>
      <c r="D74" t="s">
        <v>11</v>
      </c>
      <c r="E74" s="1">
        <v>561845</v>
      </c>
      <c r="F74" t="str">
        <f t="shared" si="2"/>
        <v>Food</v>
      </c>
      <c r="G74" s="1">
        <v>16987</v>
      </c>
      <c r="H74">
        <v>0</v>
      </c>
      <c r="I74" t="s">
        <v>12</v>
      </c>
      <c r="J74" t="str">
        <f t="shared" si="3"/>
        <v>Yes</v>
      </c>
      <c r="K74" t="s">
        <v>28</v>
      </c>
    </row>
    <row r="75" spans="1:11" x14ac:dyDescent="0.3">
      <c r="A75" s="7">
        <v>46037</v>
      </c>
      <c r="B75">
        <v>1074</v>
      </c>
      <c r="C75" t="s">
        <v>34</v>
      </c>
      <c r="D75" t="s">
        <v>11</v>
      </c>
      <c r="E75" s="1">
        <v>629131</v>
      </c>
      <c r="F75" t="str">
        <f t="shared" si="2"/>
        <v>Hotel</v>
      </c>
      <c r="G75" s="1">
        <v>122668</v>
      </c>
      <c r="H75">
        <v>7</v>
      </c>
      <c r="I75" t="s">
        <v>21</v>
      </c>
      <c r="J75" t="str">
        <f t="shared" si="3"/>
        <v>Yes</v>
      </c>
      <c r="K75" t="s">
        <v>28</v>
      </c>
    </row>
    <row r="76" spans="1:11" x14ac:dyDescent="0.3">
      <c r="A76" s="7">
        <v>46037</v>
      </c>
      <c r="B76">
        <v>1075</v>
      </c>
      <c r="C76" t="s">
        <v>27</v>
      </c>
      <c r="D76" t="s">
        <v>11</v>
      </c>
      <c r="E76" s="1">
        <v>844460</v>
      </c>
      <c r="F76" t="str">
        <f t="shared" si="2"/>
        <v>Food</v>
      </c>
      <c r="G76" s="1">
        <v>14294</v>
      </c>
      <c r="H76">
        <v>0</v>
      </c>
      <c r="I76" t="s">
        <v>12</v>
      </c>
      <c r="J76" t="str">
        <f t="shared" si="3"/>
        <v>Yes</v>
      </c>
      <c r="K76" t="s">
        <v>14</v>
      </c>
    </row>
    <row r="77" spans="1:11" x14ac:dyDescent="0.3">
      <c r="A77" s="7">
        <v>46037</v>
      </c>
      <c r="B77">
        <v>1076</v>
      </c>
      <c r="C77" t="s">
        <v>20</v>
      </c>
      <c r="D77" t="s">
        <v>16</v>
      </c>
      <c r="E77" s="1">
        <v>580721</v>
      </c>
      <c r="F77" t="str">
        <f t="shared" si="2"/>
        <v>Hotel</v>
      </c>
      <c r="G77" s="1">
        <v>210126</v>
      </c>
      <c r="H77">
        <v>6</v>
      </c>
      <c r="I77" t="s">
        <v>17</v>
      </c>
      <c r="J77" t="str">
        <f t="shared" si="3"/>
        <v>Yes</v>
      </c>
      <c r="K77" t="s">
        <v>28</v>
      </c>
    </row>
    <row r="78" spans="1:11" x14ac:dyDescent="0.3">
      <c r="A78" s="7">
        <v>46037</v>
      </c>
      <c r="B78">
        <v>1077</v>
      </c>
      <c r="C78" t="s">
        <v>33</v>
      </c>
      <c r="D78" t="s">
        <v>16</v>
      </c>
      <c r="E78" s="1">
        <v>678074</v>
      </c>
      <c r="F78" t="str">
        <f t="shared" si="2"/>
        <v>Hotel</v>
      </c>
      <c r="G78" s="1">
        <v>124075</v>
      </c>
      <c r="H78">
        <v>4</v>
      </c>
      <c r="I78" t="s">
        <v>17</v>
      </c>
      <c r="J78" t="str">
        <f t="shared" si="3"/>
        <v>Yes</v>
      </c>
      <c r="K78" t="s">
        <v>28</v>
      </c>
    </row>
    <row r="79" spans="1:11" x14ac:dyDescent="0.3">
      <c r="A79" s="7">
        <v>46038</v>
      </c>
      <c r="B79">
        <v>1078</v>
      </c>
      <c r="C79" t="s">
        <v>34</v>
      </c>
      <c r="D79" t="s">
        <v>16</v>
      </c>
      <c r="E79" s="1">
        <v>880506</v>
      </c>
      <c r="F79" t="str">
        <f t="shared" si="2"/>
        <v>Food</v>
      </c>
      <c r="G79" s="1">
        <v>40594</v>
      </c>
      <c r="H79">
        <v>0</v>
      </c>
      <c r="I79" t="s">
        <v>12</v>
      </c>
      <c r="J79" t="str">
        <f t="shared" si="3"/>
        <v>Yes</v>
      </c>
      <c r="K79" t="s">
        <v>19</v>
      </c>
    </row>
    <row r="80" spans="1:11" x14ac:dyDescent="0.3">
      <c r="A80" s="7">
        <v>46038</v>
      </c>
      <c r="B80">
        <v>1079</v>
      </c>
      <c r="C80" t="s">
        <v>37</v>
      </c>
      <c r="D80" t="s">
        <v>16</v>
      </c>
      <c r="E80" s="1">
        <v>512232</v>
      </c>
      <c r="F80" t="str">
        <f t="shared" si="2"/>
        <v>Food</v>
      </c>
      <c r="G80" s="1">
        <v>156095</v>
      </c>
      <c r="H80">
        <v>2</v>
      </c>
      <c r="I80" t="s">
        <v>17</v>
      </c>
      <c r="J80" t="str">
        <f t="shared" si="3"/>
        <v>No</v>
      </c>
      <c r="K80" t="s">
        <v>19</v>
      </c>
    </row>
    <row r="81" spans="1:11" x14ac:dyDescent="0.3">
      <c r="A81" s="7">
        <v>46038</v>
      </c>
      <c r="B81">
        <v>1080</v>
      </c>
      <c r="C81" t="s">
        <v>39</v>
      </c>
      <c r="D81" t="s">
        <v>11</v>
      </c>
      <c r="E81" s="1">
        <v>767116</v>
      </c>
      <c r="F81" t="str">
        <f t="shared" si="2"/>
        <v>Food</v>
      </c>
      <c r="G81" s="1">
        <v>38113</v>
      </c>
      <c r="H81">
        <v>0</v>
      </c>
      <c r="I81" t="s">
        <v>12</v>
      </c>
      <c r="J81" t="str">
        <f t="shared" si="3"/>
        <v>Yes</v>
      </c>
      <c r="K81" t="s">
        <v>14</v>
      </c>
    </row>
    <row r="82" spans="1:11" x14ac:dyDescent="0.3">
      <c r="A82" s="7">
        <v>46038</v>
      </c>
      <c r="B82">
        <v>1081</v>
      </c>
      <c r="C82" t="s">
        <v>27</v>
      </c>
      <c r="D82" t="s">
        <v>11</v>
      </c>
      <c r="E82" s="1">
        <v>590055</v>
      </c>
      <c r="F82" t="str">
        <f t="shared" si="2"/>
        <v>Food</v>
      </c>
      <c r="G82" s="1">
        <v>23612</v>
      </c>
      <c r="H82">
        <v>0</v>
      </c>
      <c r="I82" t="s">
        <v>12</v>
      </c>
      <c r="J82" t="str">
        <f t="shared" si="3"/>
        <v>Yes</v>
      </c>
      <c r="K82" t="s">
        <v>19</v>
      </c>
    </row>
    <row r="83" spans="1:11" x14ac:dyDescent="0.3">
      <c r="A83" s="7">
        <v>46038</v>
      </c>
      <c r="B83">
        <v>1082</v>
      </c>
      <c r="C83" t="s">
        <v>36</v>
      </c>
      <c r="D83" t="s">
        <v>16</v>
      </c>
      <c r="E83" s="1">
        <v>718179</v>
      </c>
      <c r="F83" t="str">
        <f t="shared" si="2"/>
        <v>Hotel</v>
      </c>
      <c r="G83" s="1">
        <v>127413</v>
      </c>
      <c r="H83">
        <v>6</v>
      </c>
      <c r="I83" t="s">
        <v>21</v>
      </c>
      <c r="J83" t="str">
        <f t="shared" si="3"/>
        <v>Yes</v>
      </c>
      <c r="K83" t="s">
        <v>28</v>
      </c>
    </row>
    <row r="84" spans="1:11" x14ac:dyDescent="0.3">
      <c r="A84" s="7">
        <v>46038</v>
      </c>
      <c r="B84">
        <v>1083</v>
      </c>
      <c r="C84" t="s">
        <v>23</v>
      </c>
      <c r="D84" t="s">
        <v>11</v>
      </c>
      <c r="E84" s="1">
        <v>570901</v>
      </c>
      <c r="F84" t="str">
        <f t="shared" si="2"/>
        <v>Food</v>
      </c>
      <c r="G84" s="1">
        <v>61178</v>
      </c>
      <c r="H84">
        <v>2</v>
      </c>
      <c r="I84" t="s">
        <v>17</v>
      </c>
      <c r="J84" t="str">
        <f t="shared" si="3"/>
        <v>No</v>
      </c>
      <c r="K84" t="s">
        <v>28</v>
      </c>
    </row>
    <row r="85" spans="1:11" x14ac:dyDescent="0.3">
      <c r="A85" s="7">
        <v>46038</v>
      </c>
      <c r="B85">
        <v>1084</v>
      </c>
      <c r="C85" t="s">
        <v>33</v>
      </c>
      <c r="D85" t="s">
        <v>16</v>
      </c>
      <c r="E85" s="1">
        <v>710206</v>
      </c>
      <c r="F85" t="str">
        <f t="shared" si="2"/>
        <v>Hotel</v>
      </c>
      <c r="G85" s="1">
        <v>47531</v>
      </c>
      <c r="H85">
        <v>7</v>
      </c>
      <c r="I85" t="s">
        <v>17</v>
      </c>
      <c r="J85" t="str">
        <f t="shared" si="3"/>
        <v>Yes</v>
      </c>
      <c r="K85" t="s">
        <v>19</v>
      </c>
    </row>
    <row r="86" spans="1:11" x14ac:dyDescent="0.3">
      <c r="A86" s="7">
        <v>46038</v>
      </c>
      <c r="B86">
        <v>1085</v>
      </c>
      <c r="C86" t="s">
        <v>34</v>
      </c>
      <c r="D86" t="s">
        <v>11</v>
      </c>
      <c r="E86" s="1">
        <v>842628</v>
      </c>
      <c r="F86" t="str">
        <f t="shared" si="2"/>
        <v>Hotel</v>
      </c>
      <c r="G86" s="1">
        <v>73079</v>
      </c>
      <c r="H86">
        <v>5</v>
      </c>
      <c r="I86" t="s">
        <v>17</v>
      </c>
      <c r="J86" t="str">
        <f t="shared" si="3"/>
        <v>Yes</v>
      </c>
      <c r="K86" t="s">
        <v>14</v>
      </c>
    </row>
    <row r="87" spans="1:11" x14ac:dyDescent="0.3">
      <c r="A87" s="7">
        <v>46038</v>
      </c>
      <c r="B87">
        <v>1086</v>
      </c>
      <c r="C87" t="s">
        <v>37</v>
      </c>
      <c r="D87" t="s">
        <v>11</v>
      </c>
      <c r="E87" s="1">
        <v>853758</v>
      </c>
      <c r="F87" t="str">
        <f t="shared" si="2"/>
        <v>Food</v>
      </c>
      <c r="G87" s="1">
        <v>36197</v>
      </c>
      <c r="H87">
        <v>0</v>
      </c>
      <c r="I87" t="s">
        <v>12</v>
      </c>
      <c r="J87" t="str">
        <f t="shared" si="3"/>
        <v>Yes</v>
      </c>
      <c r="K87" t="s">
        <v>28</v>
      </c>
    </row>
    <row r="88" spans="1:11" x14ac:dyDescent="0.3">
      <c r="A88" s="7">
        <v>46038</v>
      </c>
      <c r="B88">
        <v>1087</v>
      </c>
      <c r="C88" t="s">
        <v>26</v>
      </c>
      <c r="D88" t="s">
        <v>16</v>
      </c>
      <c r="E88" s="1">
        <v>636605</v>
      </c>
      <c r="F88" t="str">
        <f t="shared" si="2"/>
        <v>Hotel</v>
      </c>
      <c r="G88" s="1">
        <v>117808</v>
      </c>
      <c r="H88">
        <v>4</v>
      </c>
      <c r="I88" t="s">
        <v>21</v>
      </c>
      <c r="J88" t="str">
        <f t="shared" si="3"/>
        <v>Yes</v>
      </c>
      <c r="K88" t="s">
        <v>19</v>
      </c>
    </row>
    <row r="89" spans="1:11" x14ac:dyDescent="0.3">
      <c r="A89" s="7">
        <v>46038</v>
      </c>
      <c r="B89">
        <v>1088</v>
      </c>
      <c r="C89" t="s">
        <v>29</v>
      </c>
      <c r="D89" t="s">
        <v>11</v>
      </c>
      <c r="E89" s="1">
        <v>655357</v>
      </c>
      <c r="F89" t="str">
        <f t="shared" si="2"/>
        <v>Food</v>
      </c>
      <c r="G89" s="1">
        <v>229845</v>
      </c>
      <c r="H89">
        <v>2</v>
      </c>
      <c r="I89" t="s">
        <v>17</v>
      </c>
      <c r="J89" t="str">
        <f t="shared" si="3"/>
        <v>No</v>
      </c>
      <c r="K89" t="s">
        <v>28</v>
      </c>
    </row>
    <row r="90" spans="1:11" x14ac:dyDescent="0.3">
      <c r="A90" s="7">
        <v>46038</v>
      </c>
      <c r="B90">
        <v>1089</v>
      </c>
      <c r="C90" t="s">
        <v>31</v>
      </c>
      <c r="D90" t="s">
        <v>16</v>
      </c>
      <c r="E90" s="1">
        <v>638538</v>
      </c>
      <c r="F90" t="str">
        <f t="shared" si="2"/>
        <v>Food</v>
      </c>
      <c r="G90" s="1">
        <v>15326</v>
      </c>
      <c r="H90">
        <v>0</v>
      </c>
      <c r="I90" t="s">
        <v>12</v>
      </c>
      <c r="J90" t="str">
        <f t="shared" si="3"/>
        <v>Yes</v>
      </c>
      <c r="K90" t="s">
        <v>28</v>
      </c>
    </row>
    <row r="91" spans="1:11" x14ac:dyDescent="0.3">
      <c r="A91" s="7">
        <v>46038</v>
      </c>
      <c r="B91">
        <v>1090</v>
      </c>
      <c r="C91" t="s">
        <v>18</v>
      </c>
      <c r="D91" t="s">
        <v>11</v>
      </c>
      <c r="E91" s="1">
        <v>922129</v>
      </c>
      <c r="F91" t="str">
        <f t="shared" si="2"/>
        <v>Hotel</v>
      </c>
      <c r="G91" s="1">
        <v>14060</v>
      </c>
      <c r="H91">
        <v>7</v>
      </c>
      <c r="I91" t="s">
        <v>21</v>
      </c>
      <c r="J91" t="str">
        <f t="shared" si="3"/>
        <v>Yes</v>
      </c>
      <c r="K91" t="s">
        <v>28</v>
      </c>
    </row>
    <row r="92" spans="1:11" x14ac:dyDescent="0.3">
      <c r="A92" s="7">
        <v>46038</v>
      </c>
      <c r="B92">
        <v>1091</v>
      </c>
      <c r="C92" t="s">
        <v>36</v>
      </c>
      <c r="D92" t="s">
        <v>16</v>
      </c>
      <c r="E92" s="1">
        <v>677906</v>
      </c>
      <c r="F92" t="str">
        <f t="shared" si="2"/>
        <v>Food</v>
      </c>
      <c r="G92" s="1">
        <v>33434</v>
      </c>
      <c r="H92">
        <v>0</v>
      </c>
      <c r="I92" t="s">
        <v>12</v>
      </c>
      <c r="J92" t="str">
        <f t="shared" si="3"/>
        <v>Yes</v>
      </c>
      <c r="K92" t="s">
        <v>14</v>
      </c>
    </row>
    <row r="93" spans="1:11" x14ac:dyDescent="0.3">
      <c r="A93" s="7">
        <v>46038</v>
      </c>
      <c r="B93">
        <v>1092</v>
      </c>
      <c r="C93" t="s">
        <v>38</v>
      </c>
      <c r="D93" t="s">
        <v>16</v>
      </c>
      <c r="E93" s="1">
        <v>698507</v>
      </c>
      <c r="F93" t="str">
        <f t="shared" si="2"/>
        <v>Food</v>
      </c>
      <c r="G93" s="1">
        <v>38605</v>
      </c>
      <c r="H93">
        <v>0</v>
      </c>
      <c r="I93" t="s">
        <v>12</v>
      </c>
      <c r="J93" t="str">
        <f t="shared" si="3"/>
        <v>Yes</v>
      </c>
      <c r="K93" t="s">
        <v>28</v>
      </c>
    </row>
    <row r="94" spans="1:11" x14ac:dyDescent="0.3">
      <c r="A94" s="7">
        <v>46038</v>
      </c>
      <c r="B94">
        <v>1093</v>
      </c>
      <c r="C94" t="s">
        <v>26</v>
      </c>
      <c r="D94" t="s">
        <v>16</v>
      </c>
      <c r="E94" s="1">
        <v>810358</v>
      </c>
      <c r="F94" t="str">
        <f t="shared" si="2"/>
        <v>Hotel</v>
      </c>
      <c r="G94" s="1">
        <v>129235</v>
      </c>
      <c r="H94">
        <v>5</v>
      </c>
      <c r="I94" t="s">
        <v>21</v>
      </c>
      <c r="J94" t="str">
        <f t="shared" si="3"/>
        <v>Yes</v>
      </c>
      <c r="K94" t="s">
        <v>14</v>
      </c>
    </row>
    <row r="95" spans="1:11" x14ac:dyDescent="0.3">
      <c r="A95" s="7">
        <v>46038</v>
      </c>
      <c r="B95">
        <v>1094</v>
      </c>
      <c r="C95" t="s">
        <v>27</v>
      </c>
      <c r="D95" t="s">
        <v>11</v>
      </c>
      <c r="E95" s="1">
        <v>911025</v>
      </c>
      <c r="F95" t="str">
        <f t="shared" si="2"/>
        <v>Hotel</v>
      </c>
      <c r="G95" s="1">
        <v>28201</v>
      </c>
      <c r="H95">
        <v>7</v>
      </c>
      <c r="I95" t="s">
        <v>17</v>
      </c>
      <c r="J95" t="str">
        <f t="shared" si="3"/>
        <v>Yes</v>
      </c>
      <c r="K95" t="s">
        <v>14</v>
      </c>
    </row>
    <row r="96" spans="1:11" x14ac:dyDescent="0.3">
      <c r="A96" s="7">
        <v>46038</v>
      </c>
      <c r="B96">
        <v>1095</v>
      </c>
      <c r="C96" t="s">
        <v>32</v>
      </c>
      <c r="D96" t="s">
        <v>11</v>
      </c>
      <c r="E96" s="1">
        <v>593082</v>
      </c>
      <c r="F96" t="str">
        <f t="shared" si="2"/>
        <v>Food</v>
      </c>
      <c r="G96" s="1">
        <v>35617</v>
      </c>
      <c r="H96">
        <v>0</v>
      </c>
      <c r="I96" t="s">
        <v>12</v>
      </c>
      <c r="J96" t="str">
        <f t="shared" si="3"/>
        <v>Yes</v>
      </c>
      <c r="K96" t="s">
        <v>19</v>
      </c>
    </row>
    <row r="97" spans="1:11" x14ac:dyDescent="0.3">
      <c r="A97" s="7">
        <v>46038</v>
      </c>
      <c r="B97">
        <v>1096</v>
      </c>
      <c r="C97" t="s">
        <v>38</v>
      </c>
      <c r="D97" t="s">
        <v>16</v>
      </c>
      <c r="E97" s="1">
        <v>943164</v>
      </c>
      <c r="F97" t="str">
        <f t="shared" si="2"/>
        <v>Food</v>
      </c>
      <c r="G97" s="1">
        <v>21729</v>
      </c>
      <c r="H97">
        <v>0</v>
      </c>
      <c r="I97" t="s">
        <v>12</v>
      </c>
      <c r="J97" t="str">
        <f t="shared" si="3"/>
        <v>Yes</v>
      </c>
      <c r="K97" t="s">
        <v>28</v>
      </c>
    </row>
    <row r="98" spans="1:11" x14ac:dyDescent="0.3">
      <c r="A98" s="7">
        <v>46038</v>
      </c>
      <c r="B98">
        <v>1097</v>
      </c>
      <c r="C98" t="s">
        <v>35</v>
      </c>
      <c r="D98" t="s">
        <v>11</v>
      </c>
      <c r="E98" s="1">
        <v>839459</v>
      </c>
      <c r="F98" t="str">
        <f t="shared" si="2"/>
        <v>Food</v>
      </c>
      <c r="G98" s="1">
        <v>28133</v>
      </c>
      <c r="H98">
        <v>0</v>
      </c>
      <c r="I98" t="s">
        <v>12</v>
      </c>
      <c r="J98" t="str">
        <f t="shared" si="3"/>
        <v>Yes</v>
      </c>
      <c r="K98" t="s">
        <v>19</v>
      </c>
    </row>
    <row r="99" spans="1:11" x14ac:dyDescent="0.3">
      <c r="A99" s="7">
        <v>46038</v>
      </c>
      <c r="B99">
        <v>1098</v>
      </c>
      <c r="C99" t="s">
        <v>37</v>
      </c>
      <c r="D99" t="s">
        <v>16</v>
      </c>
      <c r="E99" s="1">
        <v>732498</v>
      </c>
      <c r="F99" t="str">
        <f t="shared" si="2"/>
        <v>Food</v>
      </c>
      <c r="G99" s="1">
        <v>46190</v>
      </c>
      <c r="H99">
        <v>0</v>
      </c>
      <c r="I99" t="s">
        <v>12</v>
      </c>
      <c r="J99" t="str">
        <f t="shared" si="3"/>
        <v>Yes</v>
      </c>
      <c r="K99" t="s">
        <v>14</v>
      </c>
    </row>
    <row r="100" spans="1:11" x14ac:dyDescent="0.3">
      <c r="A100" s="7">
        <v>46038</v>
      </c>
      <c r="B100">
        <v>1099</v>
      </c>
      <c r="C100" t="s">
        <v>24</v>
      </c>
      <c r="D100" t="s">
        <v>16</v>
      </c>
      <c r="E100" s="1">
        <v>619013</v>
      </c>
      <c r="F100" t="str">
        <f t="shared" si="2"/>
        <v>Hotel</v>
      </c>
      <c r="G100" s="1">
        <v>193248</v>
      </c>
      <c r="H100">
        <v>4</v>
      </c>
      <c r="I100" t="s">
        <v>17</v>
      </c>
      <c r="J100" t="str">
        <f t="shared" si="3"/>
        <v>Yes</v>
      </c>
      <c r="K100" t="s">
        <v>14</v>
      </c>
    </row>
    <row r="101" spans="1:11" x14ac:dyDescent="0.3">
      <c r="A101" s="7">
        <v>46038</v>
      </c>
      <c r="B101">
        <v>1100</v>
      </c>
      <c r="C101" t="s">
        <v>25</v>
      </c>
      <c r="D101" t="s">
        <v>11</v>
      </c>
      <c r="E101" s="1">
        <v>704969</v>
      </c>
      <c r="F101" t="str">
        <f t="shared" si="2"/>
        <v>Hotel</v>
      </c>
      <c r="G101" s="1">
        <v>64710</v>
      </c>
      <c r="H101">
        <v>7</v>
      </c>
      <c r="I101" t="s">
        <v>17</v>
      </c>
      <c r="J101" t="str">
        <f t="shared" si="3"/>
        <v>Yes</v>
      </c>
      <c r="K101" t="s">
        <v>19</v>
      </c>
    </row>
  </sheetData>
  <sortState xmlns:xlrd2="http://schemas.microsoft.com/office/spreadsheetml/2017/richdata2" ref="A2:A101">
    <sortCondition ref="A2:A101"/>
  </sortState>
  <conditionalFormatting pivot="1" sqref="Q4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8F9C-C55E-4824-93AC-A8EAF15CF32E}">
  <dimension ref="A1:B4"/>
  <sheetViews>
    <sheetView workbookViewId="0">
      <selection activeCell="B5" sqref="B5"/>
    </sheetView>
  </sheetViews>
  <sheetFormatPr baseColWidth="10" defaultRowHeight="14.4" x14ac:dyDescent="0.3"/>
  <cols>
    <col min="1" max="1" width="24.109375" bestFit="1" customWidth="1"/>
    <col min="2" max="2" width="80.77734375" customWidth="1"/>
    <col min="3" max="3" width="24.109375" bestFit="1" customWidth="1"/>
    <col min="4" max="4" width="22.6640625" bestFit="1" customWidth="1"/>
  </cols>
  <sheetData>
    <row r="1" spans="1:2" ht="57.6" x14ac:dyDescent="0.3">
      <c r="A1" s="6" t="s">
        <v>44</v>
      </c>
      <c r="B1" s="5" t="s">
        <v>48</v>
      </c>
    </row>
    <row r="2" spans="1:2" ht="28.8" x14ac:dyDescent="0.3">
      <c r="A2" s="6" t="s">
        <v>45</v>
      </c>
      <c r="B2" s="5" t="s">
        <v>49</v>
      </c>
    </row>
    <row r="3" spans="1:2" ht="43.2" x14ac:dyDescent="0.3">
      <c r="A3" s="6" t="s">
        <v>46</v>
      </c>
      <c r="B3" s="5" t="s">
        <v>51</v>
      </c>
    </row>
    <row r="4" spans="1:2" ht="57.6" x14ac:dyDescent="0.3">
      <c r="A4" s="6" t="s">
        <v>47</v>
      </c>
      <c r="B4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Operational_Expenses</vt:lpstr>
      <vt:lpstr>Documentacion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ALBERTO SIMON GUEMBES JIMENEZ</cp:lastModifiedBy>
  <dcterms:created xsi:type="dcterms:W3CDTF">2026-04-14T11:38:13Z</dcterms:created>
  <dcterms:modified xsi:type="dcterms:W3CDTF">2026-04-15T18:14:32Z</dcterms:modified>
</cp:coreProperties>
</file>